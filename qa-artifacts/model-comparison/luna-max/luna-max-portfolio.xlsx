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ebaf5c6bf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e6e4301778a149b0"/>
    <x:sheet xmlns:r="http://schemas.openxmlformats.org/officeDocument/2006/relationships" name="Scenarios" sheetId="2" r:id="R6964447842674b77"/>
    <x:sheet xmlns:r="http://schemas.openxmlformats.org/officeDocument/2006/relationships" name="Dashboard" sheetId="3" r:id="R908b7a0f5532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&quot;₩&quot;#,##0;[Red](&quot;₩&quot;#,##0);-"/>
    <x:numFmt numFmtId="202" formatCode="0.0"/>
    <x:numFmt numFmtId="203" formatCode="0"/>
    <x:numFmt numFmtId="204" formatCode="0.0x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526879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1A3551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52687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F5F8FB"/>
      </x:patternFill>
    </x:fill>
    <x:fill>
      <x:patternFill patternType="solid">
        <x:fgColor rgb="FF24557F"/>
      </x:patternFill>
    </x:fill>
    <x:fill>
      <x:patternFill patternType="solid">
        <x:fgColor rgb="FFE7F1FA"/>
      </x:patternFill>
    </x:fill>
    <x:fill>
      <x:patternFill patternType="solid">
        <x:fgColor rgb="FFFFF4CC"/>
      </x:patternFill>
    </x:fill>
    <x:fill>
      <x:patternFill patternType="solid">
        <x:fgColor rgb="FFE6F4E3"/>
      </x:patternFill>
    </x:fill>
    <x:fill>
      <x:patternFill patternType="solid">
        <x:fgColor rgb="FFFFFFFF"/>
      </x:patternFill>
    </x:fill>
    <x:fill>
      <x:patternFill patternType="solid">
        <x:fgColor rgb="FFFCE4E4"/>
      </x:patternFill>
    </x:fill>
  </x:fills>
  <x:borders count="2">
    <x:border/>
    <x:border>
      <x:left style="thin">
        <x:color rgb="FFBDD2E2"/>
      </x:left>
      <x:right style="thin">
        <x:color rgb="FFBDD2E2"/>
      </x:right>
      <x:top style="thin">
        <x:color rgb="FFBDD2E2"/>
      </x:top>
      <x:bottom style="thin">
        <x:color rgb="FFBDD2E2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0" borderId="1" xfId="0" applyNumberFormat="1" applyFont="1" applyFill="1" applyBorder="1"/>
    <x:xf numFmtId="200" fontId="3" fillId="0" borderId="1" xfId="0" applyNumberFormat="1" applyFont="1" applyFill="1" applyBorder="1"/>
    <x:xf numFmtId="0" fontId="0" fillId="5" borderId="1" xfId="0" applyNumberFormat="1" applyFont="1" applyFill="1" applyBorder="1"/>
    <x:xf numFmtId="200" fontId="3" fillId="6" borderId="1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0" fontId="4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201" fontId="3" fillId="6" borderId="1" xfId="0" applyNumberFormat="1" applyFont="1" applyFill="1" applyBorder="1" applyAlignment="1">
      <x:alignment vertical="center"/>
    </x:xf>
    <x:xf numFmtId="200" fontId="3" fillId="6" borderId="1" xfId="0" applyNumberFormat="1" applyFont="1" applyFill="1" applyBorder="1" applyAlignment="1">
      <x:alignment vertical="center"/>
    </x:xf>
    <x:xf numFmtId="202" fontId="3" fillId="6" borderId="1" xfId="0" applyNumberFormat="1" applyFont="1" applyFill="1" applyBorder="1" applyAlignment="1">
      <x:alignment vertical="center"/>
    </x:xf>
    <x:xf numFmtId="201" fontId="5" fillId="7" borderId="1" xfId="0" applyNumberFormat="1" applyFont="1" applyFill="1" applyBorder="1" applyAlignment="1">
      <x:alignment vertical="center"/>
    </x:xf>
    <x:xf numFmtId="200" fontId="5" fillId="7" borderId="1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/>
    </x:xf>
    <x:xf numFmtId="203" fontId="5" fillId="7" borderId="1" xfId="0" applyNumberFormat="1" applyFont="1" applyFill="1" applyBorder="1" applyAlignment="1">
      <x:alignment vertical="center"/>
    </x:xf>
    <x:xf numFmtId="201" fontId="3" fillId="6" borderId="1" xfId="0" applyNumberFormat="1" applyFont="1" applyFill="1" applyBorder="1" applyAlignment="1">
      <x:alignment horizontal="right" vertical="center"/>
    </x:xf>
    <x:xf numFmtId="200" fontId="3" fillId="6" borderId="1" xfId="0" applyNumberFormat="1" applyFont="1" applyFill="1" applyBorder="1" applyAlignment="1">
      <x:alignment horizontal="right" vertical="center"/>
    </x:xf>
    <x:xf numFmtId="202" fontId="3" fillId="6" borderId="1" xfId="0" applyNumberFormat="1" applyFont="1" applyFill="1" applyBorder="1" applyAlignment="1">
      <x:alignment horizontal="right" vertical="center"/>
    </x:xf>
    <x:xf numFmtId="201" fontId="5" fillId="7" borderId="1" xfId="0" applyNumberFormat="1" applyFont="1" applyFill="1" applyBorder="1" applyAlignment="1">
      <x:alignment horizontal="right" vertical="center"/>
    </x:xf>
    <x:xf numFmtId="200" fontId="5" fillId="7" borderId="1" xfId="0" applyNumberFormat="1" applyFont="1" applyFill="1" applyBorder="1" applyAlignment="1">
      <x:alignment horizontal="right" vertical="center"/>
    </x:xf>
    <x:xf numFmtId="202" fontId="5" fillId="7" borderId="1" xfId="0" applyNumberFormat="1" applyFont="1" applyFill="1" applyBorder="1" applyAlignment="1">
      <x:alignment horizontal="right" vertical="center"/>
    </x:xf>
    <x:xf numFmtId="203" fontId="5" fillId="7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204" fontId="1" fillId="4" borderId="1" xfId="0" applyNumberFormat="1" applyFont="1" applyFill="1" applyBorder="1" applyAlignment="1">
      <x:alignment horizontal="center" vertical="center" wrapText="1"/>
    </x:xf>
    <x:xf numFmtId="204" fontId="6" fillId="5" borderId="0" xfId="0" applyNumberFormat="1" applyFont="1" applyFill="1" applyBorder="1" applyAlignment="1">
      <x:alignment vertical="center"/>
    </x:xf>
    <x:xf numFmtId="204" fontId="6" fillId="7" borderId="0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horizontal="center" vertical="center" wrapText="1"/>
    </x:xf>
    <x:xf numFmtId="200" fontId="6" fillId="5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vertical="center"/>
    </x:xf>
    <x:xf numFmtId="204" fontId="7" fillId="4" borderId="1" xfId="0" applyNumberFormat="1" applyFont="1" applyFill="1" applyBorder="1" applyAlignment="1">
      <x:alignment horizontal="center" vertical="center" wrapText="1"/>
    </x:xf>
    <x:xf numFmtId="200" fontId="7" fillId="4" borderId="1" xfId="0" applyNumberFormat="1" applyFont="1" applyFill="1" applyBorder="1" applyAlignment="1">
      <x:alignment horizontal="center" vertical="center" wrapText="1"/>
    </x:xf>
    <x:xf numFmtId="204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4" fontId="7" fillId="7" borderId="0" xfId="0" applyNumberFormat="1" applyFont="1" applyFill="1" applyBorder="1" applyAlignment="1">
      <x:alignment vertical="center"/>
    </x:xf>
    <x:xf numFmtId="200" fontId="7" fillId="7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04" fontId="7" fillId="5" borderId="1" xfId="0" applyNumberFormat="1" applyFont="1" applyFill="1" applyBorder="1" applyAlignment="1">
      <x:alignment vertical="center"/>
    </x:xf>
    <x:xf numFmtId="200" fontId="7" fillId="5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204" fontId="7" fillId="7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/>
    </x:xf>
    <x:xf numFmtId="204" fontId="7" fillId="5" borderId="1" xfId="0" applyNumberFormat="1" applyFont="1" applyFill="1" applyBorder="1" applyAlignment="1">
      <x:alignment horizontal="center" vertical="center"/>
    </x:xf>
    <x:xf numFmtId="200" fontId="7" fillId="5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204" fontId="7" fillId="7" borderId="1" xfId="0" applyNumberFormat="1" applyFont="1" applyFill="1" applyBorder="1" applyAlignment="1">
      <x:alignment horizontal="center" vertical="center"/>
    </x:xf>
    <x:xf numFmtId="20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horizontal="center" vertical="center"/>
    </x:xf>
    <x:xf numFmtId="201" fontId="9" fillId="5" borderId="1" xfId="0" applyNumberFormat="1" applyFont="1" applyFill="1" applyBorder="1" applyAlignment="1">
      <x:alignment horizontal="center" vertical="center"/>
    </x:xf>
    <x:xf numFmtId="200" fontId="9" fillId="5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vertical="center"/>
    </x:xf>
    <x:xf numFmtId="202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horizontal="right" vertical="center"/>
    </x:xf>
    <x:xf numFmtId="0" fontId="8" fillId="8" borderId="1" xfId="0" applyNumberFormat="1" applyFont="1" applyFill="1" applyBorder="1" applyAlignment="1">
      <x:alignment horizontal="right" vertical="center"/>
    </x:xf>
    <x:xf numFmtId="202" fontId="8" fillId="8" borderId="1" xfId="0" applyNumberFormat="1" applyFont="1" applyFill="1" applyBorder="1" applyAlignment="1">
      <x:alignment horizontal="right" vertical="center"/>
    </x:xf>
    <x:xf numFmtId="201" fontId="8" fillId="8" borderId="1" xfId="0" applyNumberFormat="1" applyFont="1" applyFill="1" applyBorder="1" applyAlignment="1">
      <x:alignment horizontal="righ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5" fillId="9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201" fontId="8" fillId="9" borderId="1" xfId="0" applyNumberFormat="1" applyFont="1" applyFill="1" applyBorder="1" applyAlignment="1">
      <x:alignment vertical="center"/>
    </x:xf>
    <x:xf numFmtId="201" fontId="5" fillId="9" borderId="1" xfId="0" applyNumberFormat="1" applyFont="1" applyFill="1" applyBorder="1" applyAlignment="1">
      <x:alignment vertical="center"/>
    </x:xf>
    <x:xf numFmtId="201" fontId="8" fillId="5" borderId="1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vertical="center"/>
    </x:xf>
    <x:xf numFmtId="201" fontId="8" fillId="7" borderId="1" xfId="0" applyNumberFormat="1" applyFont="1" applyFill="1" applyBorder="1" applyAlignment="1">
      <x:alignment vertical="center"/>
    </x:xf>
    <x:xf numFmtId="201" fontId="8" fillId="9" borderId="1" xfId="0" applyNumberFormat="1" applyFont="1" applyFill="1" applyBorder="1" applyAlignment="1">
      <x:alignment horizontal="right" vertical="center"/>
    </x:xf>
    <x:xf numFmtId="201" fontId="5" fillId="9" borderId="1" xfId="0" applyNumberFormat="1" applyFont="1" applyFill="1" applyBorder="1" applyAlignment="1">
      <x:alignment horizontal="right" vertical="center"/>
    </x:xf>
    <x:xf numFmtId="201" fontId="8" fillId="5" borderId="1" xfId="0" applyNumberFormat="1" applyFont="1" applyFill="1" applyBorder="1" applyAlignment="1">
      <x:alignment horizontal="right" vertical="center"/>
    </x:xf>
    <x:xf numFmtId="201" fontId="5" fillId="5" borderId="1" xfId="0" applyNumberFormat="1" applyFont="1" applyFill="1" applyBorder="1" applyAlignment="1">
      <x:alignment horizontal="right" vertical="center"/>
    </x:xf>
    <x:xf numFmtId="201" fontId="8" fillId="7" borderId="1" xfId="0" applyNumberFormat="1" applyFont="1" applyFill="1" applyBorder="1" applyAlignment="1">
      <x:alignment horizontal="righ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46C2E"/>
      </x:font>
      <x:fill>
        <x:patternFill patternType="solid">
          <x:bgColor rgb="FFD9F2D0"/>
        </x:patternFill>
      </x:fill>
    </x:dxf>
    <x:dxf>
      <x:font>
        <x:b/>
        <x:color rgb="FFB91C1C"/>
      </x:font>
      <x:fill>
        <x:patternFill patternType="solid">
          <x:bgColor rgb="FFF9C2CC"/>
        </x:patternFill>
      </x:fill>
    </x:dxf>
    <x:dxf>
      <x:font>
        <x:b/>
        <x:color rgb="FF087F5B"/>
      </x:font>
      <x:fill>
        <x:patternFill patternType="solid">
          <x:bgColor rgb="FFB8F2DE"/>
        </x:patternFill>
      </x:fill>
    </x:dxf>
    <x:dxf>
      <x:font>
        <x:color rgb="FFB91C1C"/>
      </x:font>
      <x:fill>
        <x:patternFill patternType="solid">
          <x:bgColor rgb="FFFCE4E4"/>
        </x:patternFill>
      </x:fill>
    </x:dxf>
    <x:dxf>
      <x:font>
        <x:color rgb="FF146C2E"/>
      </x:font>
      <x:fill>
        <x:patternFill patternType="solid">
          <x:bgColor rgb="FFE6F4E3"/>
        </x:patternFill>
      </x:fill>
    </x:dxf>
    <x:dxf>
      <x:font>
        <x:b/>
        <x:color rgb="FFB9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85f50ef8448fe" /><Relationship Type="http://schemas.openxmlformats.org/officeDocument/2006/relationships/theme" Target="/xl/theme/theme1.xml" Id="R6039e129b54d405e" /><Relationship Type="http://schemas.openxmlformats.org/officeDocument/2006/relationships/sharedStrings" Target="/xl/sharedStrings.xml" Id="R84732c3d2244444b" /><Relationship Type="http://schemas.openxmlformats.org/officeDocument/2006/relationships/worksheet" Target="/xl/worksheets/sheet1.xml" Id="Re6e4301778a149b0" /><Relationship Type="http://schemas.openxmlformats.org/officeDocument/2006/relationships/worksheet" Target="/xl/worksheets/sheet2.xml" Id="R6964447842674b77" /><Relationship Type="http://schemas.openxmlformats.org/officeDocument/2006/relationships/worksheet" Target="/xl/worksheets/sheet3.xml" Id="R908b7a0f55324a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8eae1008f24e29" /><Relationship Type="http://schemas.openxmlformats.org/officeDocument/2006/relationships/chart" Target="/xl/drawings/charts/chart2.xml" Id="R4e93521bee0044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시나리오별 포트폴리오 순가치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포트폴리오 순가치(원)</c:v>
          </c:tx>
          <c:cat>
            <c:strRef>
              <c:f>'Dashboard'!$F$8:$F$10</c:f>
              <c:strCache>
                <c:ptCount val="0"/>
              </c:strCache>
            </c:strRef>
          </c:cat>
          <c:val>
            <c:numRef>
              <c:f>'Dashboard'!$G$8:$G$10</c:f>
              <c:numCache>
                <c:formatCode>"₩"#,##0;[Red]("₩"#,##0);-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₩&quot;#,##0;[Red](&quot;₩&quot;#,##0);-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상위 3 리스크조정점수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리스크조정점수</c:v>
          </c:tx>
          <c:cat>
            <c:strRef>
              <c:f>'Dashboard'!$B$8:$B$10</c:f>
              <c:strCache>
                <c:ptCount val="0"/>
              </c:strCache>
            </c:strRef>
          </c:cat>
          <c:val>
            <c:numRef>
              <c:f>'Dashboard'!$C$8:$C$10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eae1008f24e29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93521bee0044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7173d02f0494c5e" /></Relationships>
</file>

<file path=xl/worksheets/sheet1.xml><?xml version="1.0" encoding="utf-8"?>
<x:worksheet xmlns:x="http://schemas.openxmlformats.org/spreadsheetml/2006/main">
  <x:sheetViews>
    <x:sheetView showGridLines="0" workbookViewId="0">
      <x:pane x:xSplit="1" x:ySplit="7" x:topLeftCell="B8" x:activePane="bottomRight" x:state="frozen"/>
    </x:sheetView>
  </x:sheetViews>
  <x:sheetFormatPr defaultRowHeight="15"/>
  <x:cols>
    <x:col min="1" max="1" width="31" hidden="0" customWidth="1"/>
    <x:col min="2" max="2" width="16" hidden="0" customWidth="1"/>
    <x:col min="3" max="3" width="11" hidden="0" customWidth="1"/>
    <x:col min="4" max="4" width="16" hidden="0" customWidth="1"/>
    <x:col min="5" max="5" width="15" hidden="0" customWidth="1"/>
    <x:col min="6" max="6" width="10" hidden="0" customWidth="1"/>
    <x:col min="7" max="7" width="10" hidden="0" customWidth="1"/>
    <x:col min="8" max="8" width="16" hidden="0" customWidth="1"/>
    <x:col min="9" max="9" width="18" hidden="0" customWidth="1"/>
    <x:col min="10" max="10" width="10" hidden="0" customWidth="1"/>
    <x:col min="11" max="11" width="16" hidden="0" customWidth="1"/>
    <x:col min="12" max="12" width="10" hidden="0" customWidth="1"/>
  </x:cols>
  <x:sheetData>
    <x:row r="1" ht="30" customHeight="1">
      <x:c r="A1" s="4" t="str">
        <x:v>B2B SaaS 이니셔티브 포트폴리오 평가 · luna-max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8" t="str">
        <x:v>Reference: gpt-5.6-luna-xhigh-saas-portfolio.xlsx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4" customHeight="1">
      <x:c r="A3" s="12" t="str">
        <x:v>모델 가정 및 검증</x:v>
      </x:c>
      <x:c r="B3" s="12"/>
      <x:c r="C3" s="12"/>
      <x:c r="D3" s="12"/>
      <x:c r="E3" s="12"/>
      <x:c r="F3" s="12"/>
    </x:row>
    <x:row r="4">
      <x:c r="A4" s="17" t="str">
        <x:v>기준</x:v>
      </x:c>
      <x:c r="B4" s="18" t="n">
        <x:v>0.35</x:v>
      </x:c>
      <x:c r="C4" s="18" t="n">
        <x:v>0.4</x:v>
      </x:c>
      <x:c r="D4" s="18" t="n">
        <x:v>0.25</x:v>
      </x:c>
      <x:c r="E4" s="21" t="n">
        <x:f>SUM(B4:D4)</x:f>
        <x:v>1</x:v>
      </x:c>
      <x:c r="F4" s="23" t="str">
        <x:f>IF(E4=1,"검증 완료","오류")</x:f>
        <x:v>검증 완료</x:v>
      </x:c>
    </x:row>
    <x:row r="6" ht="24" customHeight="1">
      <x:c r="A6" s="12" t="str">
        <x:v>투자안 평가 · 입력 파랑 / 계산 검정 / 연결 초록</x:v>
      </x:c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42" customHeight="1">
      <x:c r="A7" s="27" t="str">
        <x:v>이니셔티브</x:v>
      </x:c>
      <x:c r="B7" s="27" t="str">
        <x:v>예상 ARR(원)</x:v>
      </x:c>
      <x:c r="C7" s="27" t="str">
        <x:v>성공확률</x:v>
      </x:c>
      <x:c r="D7" s="27" t="str">
        <x:v>초기개발비(원)</x:v>
      </x:c>
      <x:c r="E7" s="27" t="str">
        <x:v>월운영비(원)</x:v>
      </x:c>
      <x:c r="F7" s="27" t="str">
        <x:v>전략점수</x:v>
      </x:c>
      <x:c r="G7" s="27" t="str">
        <x:v>리스크점수</x:v>
      </x:c>
      <x:c r="H7" s="27" t="str">
        <x:v>기대 ARR(원)</x:v>
      </x:c>
      <x:c r="I7" s="27" t="str">
        <x:v>12개월 순가치(원)</x:v>
      </x:c>
      <x:c r="J7" s="27" t="str">
        <x:v>ROI</x:v>
      </x:c>
      <x:c r="K7" s="27" t="str">
        <x:v>리스크조정점수</x:v>
      </x:c>
      <x:c r="L7" s="27" t="str">
        <x:v>우선순위</x:v>
      </x:c>
    </x:row>
    <x:row r="8">
      <x:c r="A8" s="34" t="str">
        <x:v>영업 파이프라인 자동화 CRM SaaS</x:v>
      </x:c>
      <x:c r="B8" s="43" t="n">
        <x:v>180000000</x:v>
      </x:c>
      <x:c r="C8" s="44" t="n">
        <x:v>0.72</x:v>
      </x:c>
      <x:c r="D8" s="43" t="n">
        <x:v>45000000</x:v>
      </x:c>
      <x:c r="E8" s="43" t="n">
        <x:v>5500000</x:v>
      </x:c>
      <x:c r="F8" s="45" t="n">
        <x:v>88</x:v>
      </x:c>
      <x:c r="G8" s="45" t="n">
        <x:v>32</x:v>
      </x:c>
      <x:c r="H8" s="46" t="n">
        <x:f>B8*C8</x:f>
        <x:v>129600000</x:v>
      </x:c>
      <x:c r="I8" s="46" t="n">
        <x:f>H8-(D8+12*E8)</x:f>
        <x:v>18600000</x:v>
      </x:c>
      <x:c r="J8" s="47" t="n">
        <x:f>I8/(D8+12*E8)</x:f>
        <x:v>0.16756756756756758</x:v>
      </x:c>
      <x:c r="K8" s="48" t="n">
        <x:f>$B$4*F8+$C$4*(J8*100)+$D$4*(100-G8)</x:f>
        <x:v>54.5027027027027</x:v>
      </x:c>
      <x:c r="L8" s="49" t="n">
        <x:f>RANK(K8,$K$8:$K$17,0)</x:f>
        <x:v>2</x:v>
      </x:c>
    </x:row>
    <x:row r="9">
      <x:c r="A9" s="34" t="str">
        <x:v>계약·법무 검토 Copilot</x:v>
      </x:c>
      <x:c r="B9" s="43" t="n">
        <x:v>160000000</x:v>
      </x:c>
      <x:c r="C9" s="44" t="n">
        <x:v>0.65</x:v>
      </x:c>
      <x:c r="D9" s="43" t="n">
        <x:v>40000000</x:v>
      </x:c>
      <x:c r="E9" s="43" t="n">
        <x:v>4500000</x:v>
      </x:c>
      <x:c r="F9" s="45" t="n">
        <x:v>84</x:v>
      </x:c>
      <x:c r="G9" s="45" t="n">
        <x:v>45</x:v>
      </x:c>
      <x:c r="H9" s="46" t="n">
        <x:f>B9*C9</x:f>
        <x:v>104000000</x:v>
      </x:c>
      <x:c r="I9" s="46" t="n">
        <x:f>H9-(D9+12*E9)</x:f>
        <x:v>10000000</x:v>
      </x:c>
      <x:c r="J9" s="47" t="n">
        <x:f>I9/(D9+12*E9)</x:f>
        <x:v>0.10638297872340426</x:v>
      </x:c>
      <x:c r="K9" s="48" t="n">
        <x:f>$B$4*F9+$C$4*(J9*100)+$D$4*(100-G9)</x:f>
        <x:v>47.40531914893617</x:v>
      </x:c>
      <x:c r="L9" s="49" t="n">
        <x:f>RANK(K9,$K$8:$K$17,0)</x:f>
        <x:v>5</x:v>
      </x:c>
    </x:row>
    <x:row r="10">
      <x:c r="A10" s="34" t="str">
        <x:v>B2B 고객지원 AI 챗봇</x:v>
      </x:c>
      <x:c r="B10" s="43" t="n">
        <x:v>240000000</x:v>
      </x:c>
      <x:c r="C10" s="44" t="n">
        <x:v>0.58</x:v>
      </x:c>
      <x:c r="D10" s="43" t="n">
        <x:v>60000000</x:v>
      </x:c>
      <x:c r="E10" s="43" t="n">
        <x:v>7000000</x:v>
      </x:c>
      <x:c r="F10" s="45" t="n">
        <x:v>82</x:v>
      </x:c>
      <x:c r="G10" s="45" t="n">
        <x:v>55</x:v>
      </x:c>
      <x:c r="H10" s="46" t="n">
        <x:f>B10*C10</x:f>
        <x:v>139200000</x:v>
      </x:c>
      <x:c r="I10" s="46" t="n">
        <x:f>H10-(D10+12*E10)</x:f>
        <x:v>-4800000</x:v>
      </x:c>
      <x:c r="J10" s="47" t="n">
        <x:f>I10/(D10+12*E10)</x:f>
        <x:v>-0.03333333333333333</x:v>
      </x:c>
      <x:c r="K10" s="48" t="n">
        <x:f>$B$4*F10+$C$4*(J10*100)+$D$4*(100-G10)</x:f>
        <x:v>38.61666666666667</x:v>
      </x:c>
      <x:c r="L10" s="49" t="n">
        <x:f>RANK(K10,$K$8:$K$17,0)</x:f>
        <x:v>8</x:v>
      </x:c>
    </x:row>
    <x:row r="11">
      <x:c r="A11" s="34" t="str">
        <x:v>구독형 재무분석 FP&amp;A SaaS</x:v>
      </x:c>
      <x:c r="B11" s="43" t="n">
        <x:v>210000000</x:v>
      </x:c>
      <x:c r="C11" s="44" t="n">
        <x:v>0.62</x:v>
      </x:c>
      <x:c r="D11" s="43" t="n">
        <x:v>50000000</x:v>
      </x:c>
      <x:c r="E11" s="43" t="n">
        <x:v>6000000</x:v>
      </x:c>
      <x:c r="F11" s="45" t="n">
        <x:v>90</x:v>
      </x:c>
      <x:c r="G11" s="45" t="n">
        <x:v>38</x:v>
      </x:c>
      <x:c r="H11" s="46" t="n">
        <x:f>B11*C11</x:f>
        <x:v>130200000</x:v>
      </x:c>
      <x:c r="I11" s="46" t="n">
        <x:f>H11-(D11+12*E11)</x:f>
        <x:v>8200000</x:v>
      </x:c>
      <x:c r="J11" s="47" t="n">
        <x:f>I11/(D11+12*E11)</x:f>
        <x:v>0.06721311475409836</x:v>
      </x:c>
      <x:c r="K11" s="48" t="n">
        <x:f>$B$4*F11+$C$4*(J11*100)+$D$4*(100-G11)</x:f>
        <x:v>49.68852459016393</x:v>
      </x:c>
      <x:c r="L11" s="49" t="n">
        <x:f>RANK(K11,$K$8:$K$17,0)</x:f>
        <x:v>4</x:v>
      </x:c>
    </x:row>
    <x:row r="12">
      <x:c r="A12" s="34" t="str">
        <x:v>공급망 수요예측 SaaS</x:v>
      </x:c>
      <x:c r="B12" s="43" t="n">
        <x:v>300000000</x:v>
      </x:c>
      <x:c r="C12" s="44" t="n">
        <x:v>0.48</x:v>
      </x:c>
      <x:c r="D12" s="43" t="n">
        <x:v>75000000</x:v>
      </x:c>
      <x:c r="E12" s="43" t="n">
        <x:v>8500000</x:v>
      </x:c>
      <x:c r="F12" s="45" t="n">
        <x:v>86</x:v>
      </x:c>
      <x:c r="G12" s="45" t="n">
        <x:v>68</x:v>
      </x:c>
      <x:c r="H12" s="46" t="n">
        <x:f>B12*C12</x:f>
        <x:v>144000000</x:v>
      </x:c>
      <x:c r="I12" s="46" t="n">
        <x:f>H12-(D12+12*E12)</x:f>
        <x:v>-33000000</x:v>
      </x:c>
      <x:c r="J12" s="47" t="n">
        <x:f>I12/(D12+12*E12)</x:f>
        <x:v>-0.1864406779661017</x:v>
      </x:c>
      <x:c r="K12" s="48" t="n">
        <x:f>$B$4*F12+$C$4*(J12*100)+$D$4*(100-G12)</x:f>
        <x:v>30.64237288135593</x:v>
      </x:c>
      <x:c r="L12" s="49" t="n">
        <x:f>RANK(K12,$K$8:$K$17,0)</x:f>
        <x:v>10</x:v>
      </x:c>
    </x:row>
    <x:row r="13">
      <x:c r="A13" s="34" t="str">
        <x:v>HR 인력계획·스킬 매칭 SaaS</x:v>
      </x:c>
      <x:c r="B13" s="43" t="n">
        <x:v>140000000</x:v>
      </x:c>
      <x:c r="C13" s="44" t="n">
        <x:v>0.7</x:v>
      </x:c>
      <x:c r="D13" s="43" t="n">
        <x:v>35000000</x:v>
      </x:c>
      <x:c r="E13" s="43" t="n">
        <x:v>4000000</x:v>
      </x:c>
      <x:c r="F13" s="45" t="n">
        <x:v>76</x:v>
      </x:c>
      <x:c r="G13" s="45" t="n">
        <x:v>30</x:v>
      </x:c>
      <x:c r="H13" s="46" t="n">
        <x:f>B13*C13</x:f>
        <x:v>98000000</x:v>
      </x:c>
      <x:c r="I13" s="46" t="n">
        <x:f>H13-(D13+12*E13)</x:f>
        <x:v>15000000</x:v>
      </x:c>
      <x:c r="J13" s="47" t="n">
        <x:f>I13/(D13+12*E13)</x:f>
        <x:v>0.18072289156626506</x:v>
      </x:c>
      <x:c r="K13" s="48" t="n">
        <x:f>$B$4*F13+$C$4*(J13*100)+$D$4*(100-G13)</x:f>
        <x:v>51.3289156626506</x:v>
      </x:c>
      <x:c r="L13" s="49" t="n">
        <x:f>RANK(K13,$K$8:$K$17,0)</x:f>
        <x:v>3</x:v>
      </x:c>
    </x:row>
    <x:row r="14">
      <x:c r="A14" s="34" t="str">
        <x:v>보안 컴플라이언스 관리 SaaS</x:v>
      </x:c>
      <x:c r="B14" s="43" t="n">
        <x:v>190000000</x:v>
      </x:c>
      <x:c r="C14" s="44" t="n">
        <x:v>0.6</x:v>
      </x:c>
      <x:c r="D14" s="43" t="n">
        <x:v>48000000</x:v>
      </x:c>
      <x:c r="E14" s="43" t="n">
        <x:v>5500000</x:v>
      </x:c>
      <x:c r="F14" s="45" t="n">
        <x:v>92</x:v>
      </x:c>
      <x:c r="G14" s="45" t="n">
        <x:v>50</x:v>
      </x:c>
      <x:c r="H14" s="46" t="n">
        <x:f>B14*C14</x:f>
        <x:v>114000000</x:v>
      </x:c>
      <x:c r="I14" s="46" t="n">
        <x:f>H14-(D14+12*E14)</x:f>
        <x:v>0</x:v>
      </x:c>
      <x:c r="J14" s="47" t="n">
        <x:f>I14/(D14+12*E14)</x:f>
        <x:v>0</x:v>
      </x:c>
      <x:c r="K14" s="48" t="n">
        <x:f>$B$4*F14+$C$4*(J14*100)+$D$4*(100-G14)</x:f>
        <x:v>44.699999999999996</x:v>
      </x:c>
      <x:c r="L14" s="49" t="n">
        <x:f>RANK(K14,$K$8:$K$17,0)</x:f>
        <x:v>6</x:v>
      </x:c>
    </x:row>
    <x:row r="15">
      <x:c r="A15" s="34" t="str">
        <x:v>API 모니터링·개발자 포털 SaaS</x:v>
      </x:c>
      <x:c r="B15" s="43" t="n">
        <x:v>125000000</x:v>
      </x:c>
      <x:c r="C15" s="44" t="n">
        <x:v>0.78</x:v>
      </x:c>
      <x:c r="D15" s="43" t="n">
        <x:v>30000000</x:v>
      </x:c>
      <x:c r="E15" s="43" t="n">
        <x:v>3500000</x:v>
      </x:c>
      <x:c r="F15" s="45" t="n">
        <x:v>74</x:v>
      </x:c>
      <x:c r="G15" s="45" t="n">
        <x:v>25</x:v>
      </x:c>
      <x:c r="H15" s="46" t="n">
        <x:f>B15*C15</x:f>
        <x:v>97500000</x:v>
      </x:c>
      <x:c r="I15" s="46" t="n">
        <x:f>H15-(D15+12*E15)</x:f>
        <x:v>25500000</x:v>
      </x:c>
      <x:c r="J15" s="47" t="n">
        <x:f>I15/(D15+12*E15)</x:f>
        <x:v>0.3541666666666667</x:v>
      </x:c>
      <x:c r="K15" s="48" t="n">
        <x:f>$B$4*F15+$C$4*(J15*100)+$D$4*(100-G15)</x:f>
        <x:v>58.81666666666667</x:v>
      </x:c>
      <x:c r="L15" s="49" t="n">
        <x:f>RANK(K15,$K$8:$K$17,0)</x:f>
        <x:v>1</x:v>
      </x:c>
    </x:row>
    <x:row r="16">
      <x:c r="A16" s="34" t="str">
        <x:v>B2B 마케팅 어트리뷰션 SaaS</x:v>
      </x:c>
      <x:c r="B16" s="43" t="n">
        <x:v>230000000</x:v>
      </x:c>
      <x:c r="C16" s="44" t="n">
        <x:v>0.52</x:v>
      </x:c>
      <x:c r="D16" s="43" t="n">
        <x:v>55000000</x:v>
      </x:c>
      <x:c r="E16" s="43" t="n">
        <x:v>6500000</x:v>
      </x:c>
      <x:c r="F16" s="45" t="n">
        <x:v>80</x:v>
      </x:c>
      <x:c r="G16" s="45" t="n">
        <x:v>60</x:v>
      </x:c>
      <x:c r="H16" s="46" t="n">
        <x:f>B16*C16</x:f>
        <x:v>119600000</x:v>
      </x:c>
      <x:c r="I16" s="46" t="n">
        <x:f>H16-(D16+12*E16)</x:f>
        <x:v>-13400000</x:v>
      </x:c>
      <x:c r="J16" s="47" t="n">
        <x:f>I16/(D16+12*E16)</x:f>
        <x:v>-0.10075187969924812</x:v>
      </x:c>
      <x:c r="K16" s="48" t="n">
        <x:f>$B$4*F16+$C$4*(J16*100)+$D$4*(100-G16)</x:f>
        <x:v>33.96992481203007</x:v>
      </x:c>
      <x:c r="L16" s="49" t="n">
        <x:f>RANK(K16,$K$8:$K$17,0)</x:f>
        <x:v>9</x:v>
      </x:c>
    </x:row>
    <x:row r="17">
      <x:c r="A17" s="34" t="str">
        <x:v>전자조달·벤더 리스크 SaaS</x:v>
      </x:c>
      <x:c r="B17" s="43" t="n">
        <x:v>175000000</x:v>
      </x:c>
      <x:c r="C17" s="44" t="n">
        <x:v>0.57</x:v>
      </x:c>
      <x:c r="D17" s="43" t="n">
        <x:v>42000000</x:v>
      </x:c>
      <x:c r="E17" s="43" t="n">
        <x:v>5000000</x:v>
      </x:c>
      <x:c r="F17" s="45" t="n">
        <x:v>83</x:v>
      </x:c>
      <x:c r="G17" s="45" t="n">
        <x:v>48</x:v>
      </x:c>
      <x:c r="H17" s="46" t="n">
        <x:f>B17*C17</x:f>
        <x:v>99749999.99999999</x:v>
      </x:c>
      <x:c r="I17" s="46" t="n">
        <x:f>H17-(D17+12*E17)</x:f>
        <x:v>-2250000.000000015</x:v>
      </x:c>
      <x:c r="J17" s="47" t="n">
        <x:f>I17/(D17+12*E17)</x:f>
        <x:v>-0.022058823529411912</x:v>
      </x:c>
      <x:c r="K17" s="48" t="n">
        <x:f>$B$4*F17+$C$4*(J17*100)+$D$4*(100-G17)</x:f>
        <x:v>41.16764705882352</x:v>
      </x:c>
      <x:c r="L17" s="49" t="n">
        <x:f>RANK(K17,$K$8:$K$17,0)</x:f>
        <x:v>7</x:v>
      </x:c>
    </x:row>
    <x:row r="19" ht="22" customHeight="1">
      <x:c r="A19" s="51" t="str">
        <x:v>모델 색상 규칙: 입력값은 파랑, 수식은 검정, 위험·ROI 예외는 조건부서식으로 표시</x:v>
      </x:c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</x:row>
  </x:sheetData>
  <x:mergeCells>
    <x:mergeCell ref="A1:L1"/>
    <x:mergeCell ref="A2:L2"/>
    <x:mergeCell ref="A3:F3"/>
    <x:mergeCell ref="A6:L6"/>
    <x:mergeCell ref="A19:L19"/>
  </x:mergeCells>
  <x:conditionalFormatting sqref="G8:G1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J8:J17">
    <x:cfRule type="cellIs" dxfId="0" priority="2" operator="greaterThanOrEqual">
      <x:formula>0</x:formula>
    </x:cfRule>
    <x:cfRule type="cellIs" dxfId="1" priority="3" operator="lessThan">
      <x:formula>0</x:formula>
    </x:cfRule>
  </x:conditionalFormatting>
  <x:conditionalFormatting sqref="L8:L10">
    <x:cfRule type="cellIs" dxfId="2" priority="4" operator="lessThanOrEqual">
      <x:formula>3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:xSplit="1" x:ySplit="9" x:topLeftCell="B10" x:activePane="bottomRight" x: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4" t="str">
        <x:v>B2B SaaS 시나리오 분석 · 12개월 순가치</x:v>
      </x:c>
      <x:c r="B1" s="4"/>
      <x:c r="C1" s="4"/>
      <x:c r="D1" s="4"/>
    </x:row>
    <x:row r="2">
      <x:c r="A2" s="6" t="str">
        <x:v>Reference: gpt-5.6-luna-xhigh-saas-portfolio.xlsx</x:v>
      </x:c>
      <x:c r="B2" s="6"/>
      <x:c r="C2" s="6"/>
      <x:c r="D2" s="6"/>
    </x:row>
    <x:row r="3" ht="24" customHeight="1">
      <x:c r="A3" s="12" t="str">
        <x:v>시나리오 가정</x:v>
      </x:c>
      <x:c r="B3" s="12"/>
      <x:c r="C3" s="12"/>
      <x:c r="D3" s="12"/>
    </x:row>
    <x:row r="4">
      <x:c r="A4" s="27" t="str">
        <x:v>Downside</x:v>
      </x:c>
      <x:c r="B4" s="63" t="n">
        <x:v>0.8</x:v>
      </x:c>
      <x:c r="C4" s="64" t="n">
        <x:v>-0.15</x:v>
      </x:c>
      <x:c r="D4" s="63" t="n">
        <x:v>1.15</x:v>
      </x:c>
    </x:row>
    <x:row r="5">
      <x:c r="A5" s="75" t="str">
        <x:v>Base</x:v>
      </x:c>
      <x:c r="B5" s="76" t="n">
        <x:v>1</x:v>
      </x:c>
      <x:c r="C5" s="77" t="n">
        <x:v>0</x:v>
      </x:c>
      <x:c r="D5" s="76" t="n">
        <x:v>1</x:v>
      </x:c>
    </x:row>
    <x:row r="6">
      <x:c r="A6" s="78" t="str">
        <x:v>Upside</x:v>
      </x:c>
      <x:c r="B6" s="79" t="n">
        <x:v>1.2</x:v>
      </x:c>
      <x:c r="C6" s="80" t="n">
        <x:v>0.1</x:v>
      </x:c>
      <x:c r="D6" s="79" t="n">
        <x:v>0.9</x:v>
      </x:c>
    </x:row>
    <x:row r="8" ht="24" customHeight="1">
      <x:c r="A8" s="12" t="str">
        <x:v>12개월 포트폴리오 순가치 스트레스 테스트</x:v>
      </x:c>
      <x:c r="B8" s="12"/>
      <x:c r="C8" s="12"/>
      <x:c r="D8" s="12"/>
    </x:row>
    <x:row r="9" ht="36" customHeight="1">
      <x:c r="A9" s="27" t="str">
        <x:v>이니셔티브</x:v>
      </x:c>
      <x:c r="B9" s="27" t="str">
        <x:v>Downside 순가치(원)</x:v>
      </x:c>
      <x:c r="C9" s="27" t="str">
        <x:v>Base 순가치(원)</x:v>
      </x:c>
      <x:c r="D9" s="27" t="str">
        <x:v>Upside 순가치(원)</x:v>
      </x:c>
    </x:row>
    <x:row r="10">
      <x:c r="A10" s="87" t="str">
        <x:f>'Portfolio'!$A$8</x:f>
        <x:v>영업 파이프라인 자동화 CRM SaaS</x:v>
      </x:c>
      <x:c r="B10" s="46" t="n">
        <x:f>'Portfolio'!$B$8*$B$4*('Portfolio'!$C8+$C$4)-('Portfolio'!$D$8+12*'Portfolio'!$E$8)*$D$4</x:f>
        <x:v>-45569999.999999985</x:v>
      </x:c>
      <x:c r="C10" s="46" t="n">
        <x:f>'Portfolio'!$B$8*$B$5*('Portfolio'!$C8+$C$5)-('Portfolio'!$D$8+12*'Portfolio'!$E$8)*$D$5</x:f>
        <x:v>18600000</x:v>
      </x:c>
      <x:c r="D10" s="46" t="n">
        <x:f>'Portfolio'!$B$8*$B$6*('Portfolio'!$C8+$C$6)-('Portfolio'!$D$8+12*'Portfolio'!$E$8)*$D$6</x:f>
        <x:v>77220000</x:v>
      </x:c>
    </x:row>
    <x:row r="11">
      <x:c r="A11" s="87" t="str">
        <x:f>'Portfolio'!$A$9</x:f>
        <x:v>계약·법무 검토 Copilot</x:v>
      </x:c>
      <x:c r="B11" s="46" t="n">
        <x:f>'Portfolio'!$B$9*$B$4*('Portfolio'!$C9+$C$4)-('Portfolio'!$D$9+12*'Portfolio'!$E$9)*$D$4</x:f>
        <x:v>-44099999.999999985</x:v>
      </x:c>
      <x:c r="C11" s="46" t="n">
        <x:f>'Portfolio'!$B$9*$B$5*('Portfolio'!$C9+$C$5)-('Portfolio'!$D$9+12*'Portfolio'!$E$9)*$D$5</x:f>
        <x:v>10000000</x:v>
      </x:c>
      <x:c r="D11" s="46" t="n">
        <x:f>'Portfolio'!$B$9*$B$6*('Portfolio'!$C9+$C$6)-('Portfolio'!$D$9+12*'Portfolio'!$E$9)*$D$6</x:f>
        <x:v>59400000</x:v>
      </x:c>
    </x:row>
    <x:row r="12">
      <x:c r="A12" s="87" t="str">
        <x:f>'Portfolio'!$A$10</x:f>
        <x:v>B2B 고객지원 AI 챗봇</x:v>
      </x:c>
      <x:c r="B12" s="46" t="n">
        <x:f>'Portfolio'!$B$10*$B$4*('Portfolio'!$C10+$C$4)-('Portfolio'!$D$10+12*'Portfolio'!$E$10)*$D$4</x:f>
        <x:v>-83040000.00000001</x:v>
      </x:c>
      <x:c r="C12" s="46" t="n">
        <x:f>'Portfolio'!$B$10*$B$5*('Portfolio'!$C10+$C$5)-('Portfolio'!$D$10+12*'Portfolio'!$E$10)*$D$5</x:f>
        <x:v>-4800000</x:v>
      </x:c>
      <x:c r="D12" s="46" t="n">
        <x:f>'Portfolio'!$B$10*$B$6*('Portfolio'!$C10+$C$6)-('Portfolio'!$D$10+12*'Portfolio'!$E$10)*$D$6</x:f>
        <x:v>66239999.99999997</x:v>
      </x:c>
    </x:row>
    <x:row r="13">
      <x:c r="A13" s="87" t="str">
        <x:f>'Portfolio'!$A$11</x:f>
        <x:v>구독형 재무분석 FP&amp;A SaaS</x:v>
      </x:c>
      <x:c r="B13" s="46" t="n">
        <x:f>'Portfolio'!$B$11*$B$4*('Portfolio'!$C11+$C$4)-('Portfolio'!$D$11+12*'Portfolio'!$E$11)*$D$4</x:f>
        <x:v>-61340000</x:v>
      </x:c>
      <x:c r="C13" s="46" t="n">
        <x:f>'Portfolio'!$B$11*$B$5*('Portfolio'!$C11+$C$5)-('Portfolio'!$D$11+12*'Portfolio'!$E$11)*$D$5</x:f>
        <x:v>8200000</x:v>
      </x:c>
      <x:c r="D13" s="46" t="n">
        <x:f>'Portfolio'!$B$11*$B$6*('Portfolio'!$C11+$C$6)-('Portfolio'!$D$11+12*'Portfolio'!$E$11)*$D$6</x:f>
        <x:v>71640000</x:v>
      </x:c>
    </x:row>
    <x:row r="14">
      <x:c r="A14" s="87" t="str">
        <x:f>'Portfolio'!$A$12</x:f>
        <x:v>공급망 수요예측 SaaS</x:v>
      </x:c>
      <x:c r="B14" s="46" t="n">
        <x:f>'Portfolio'!$B$12*$B$4*('Portfolio'!$C12+$C$4)-('Portfolio'!$D$12+12*'Portfolio'!$E$12)*$D$4</x:f>
        <x:v>-124349999.99999999</x:v>
      </x:c>
      <x:c r="C14" s="46" t="n">
        <x:f>'Portfolio'!$B$12*$B$5*('Portfolio'!$C12+$C$5)-('Portfolio'!$D$12+12*'Portfolio'!$E$12)*$D$5</x:f>
        <x:v>-33000000</x:v>
      </x:c>
      <x:c r="D14" s="46" t="n">
        <x:f>'Portfolio'!$B$12*$B$6*('Portfolio'!$C12+$C$6)-('Portfolio'!$D$12+12*'Portfolio'!$E$12)*$D$6</x:f>
        <x:v>49500000</x:v>
      </x:c>
    </x:row>
    <x:row r="15">
      <x:c r="A15" s="87" t="str">
        <x:f>'Portfolio'!$A$13</x:f>
        <x:v>HR 인력계획·스킬 매칭 SaaS</x:v>
      </x:c>
      <x:c r="B15" s="46" t="n">
        <x:f>'Portfolio'!$B$13*$B$4*('Portfolio'!$C13+$C$4)-('Portfolio'!$D$13+12*'Portfolio'!$E$13)*$D$4</x:f>
        <x:v>-33850000.00000001</x:v>
      </x:c>
      <x:c r="C15" s="46" t="n">
        <x:f>'Portfolio'!$B$13*$B$5*('Portfolio'!$C13+$C$5)-('Portfolio'!$D$13+12*'Portfolio'!$E$13)*$D$5</x:f>
        <x:v>15000000</x:v>
      </x:c>
      <x:c r="D15" s="46" t="n">
        <x:f>'Portfolio'!$B$13*$B$6*('Portfolio'!$C13+$C$6)-('Portfolio'!$D$13+12*'Portfolio'!$E$13)*$D$6</x:f>
        <x:v>59700000</x:v>
      </x:c>
    </x:row>
    <x:row r="16">
      <x:c r="A16" s="87" t="str">
        <x:f>'Portfolio'!$A$14</x:f>
        <x:v>보안 컴플라이언스 관리 SaaS</x:v>
      </x:c>
      <x:c r="B16" s="46" t="n">
        <x:f>'Portfolio'!$B$14*$B$4*('Portfolio'!$C14+$C$4)-('Portfolio'!$D$14+12*'Portfolio'!$E$14)*$D$4</x:f>
        <x:v>-62699999.999999985</x:v>
      </x:c>
      <x:c r="C16" s="46" t="n">
        <x:f>'Portfolio'!$B$14*$B$5*('Portfolio'!$C14+$C$5)-('Portfolio'!$D$14+12*'Portfolio'!$E$14)*$D$5</x:f>
        <x:v>0</x:v>
      </x:c>
      <x:c r="D16" s="46" t="n">
        <x:f>'Portfolio'!$B$14*$B$6*('Portfolio'!$C14+$C$6)-('Portfolio'!$D$14+12*'Portfolio'!$E$14)*$D$6</x:f>
        <x:v>57000000</x:v>
      </x:c>
    </x:row>
    <x:row r="17">
      <x:c r="A17" s="87" t="str">
        <x:f>'Portfolio'!$A$15</x:f>
        <x:v>API 모니터링·개발자 포털 SaaS</x:v>
      </x:c>
      <x:c r="B17" s="46" t="n">
        <x:f>'Portfolio'!$B$15*$B$4*('Portfolio'!$C15+$C$4)-('Portfolio'!$D$15+12*'Portfolio'!$E$15)*$D$4</x:f>
        <x:v>-19800000</x:v>
      </x:c>
      <x:c r="C17" s="46" t="n">
        <x:f>'Portfolio'!$B$15*$B$5*('Portfolio'!$C15+$C$5)-('Portfolio'!$D$15+12*'Portfolio'!$E$15)*$D$5</x:f>
        <x:v>25500000</x:v>
      </x:c>
      <x:c r="D17" s="46" t="n">
        <x:f>'Portfolio'!$B$15*$B$6*('Portfolio'!$C15+$C$6)-('Portfolio'!$D$15+12*'Portfolio'!$E$15)*$D$6</x:f>
        <x:v>67200000</x:v>
      </x:c>
    </x:row>
    <x:row r="18">
      <x:c r="A18" s="87" t="str">
        <x:f>'Portfolio'!$A$16</x:f>
        <x:v>B2B 마케팅 어트리뷰션 SaaS</x:v>
      </x:c>
      <x:c r="B18" s="46" t="n">
        <x:f>'Portfolio'!$B$16*$B$4*('Portfolio'!$C16+$C$4)-('Portfolio'!$D$16+12*'Portfolio'!$E$16)*$D$4</x:f>
        <x:v>-84870000</x:v>
      </x:c>
      <x:c r="C18" s="46" t="n">
        <x:f>'Portfolio'!$B$16*$B$5*('Portfolio'!$C16+$C$5)-('Portfolio'!$D$16+12*'Portfolio'!$E$16)*$D$5</x:f>
        <x:v>-13400000</x:v>
      </x:c>
      <x:c r="D18" s="46" t="n">
        <x:f>'Portfolio'!$B$16*$B$6*('Portfolio'!$C16+$C$6)-('Portfolio'!$D$16+12*'Portfolio'!$E$16)*$D$6</x:f>
        <x:v>51420000</x:v>
      </x:c>
    </x:row>
    <x:row r="19">
      <x:c r="A19" s="87" t="str">
        <x:f>'Portfolio'!$A$17</x:f>
        <x:v>전자조달·벤더 리스크 SaaS</x:v>
      </x:c>
      <x:c r="B19" s="46" t="n">
        <x:f>'Portfolio'!$B$17*$B$4*('Portfolio'!$C17+$C$4)-('Portfolio'!$D$17+12*'Portfolio'!$E$17)*$D$4</x:f>
        <x:v>-58499999.99999999</x:v>
      </x:c>
      <x:c r="C19" s="46" t="n">
        <x:f>'Portfolio'!$B$17*$B$5*('Portfolio'!$C17+$C$5)-('Portfolio'!$D$17+12*'Portfolio'!$E$17)*$D$5</x:f>
        <x:v>-2250000.000000015</x:v>
      </x:c>
      <x:c r="D19" s="46" t="n">
        <x:f>'Portfolio'!$B$17*$B$6*('Portfolio'!$C17+$C$6)-('Portfolio'!$D$17+12*'Portfolio'!$E$17)*$D$6</x:f>
        <x:v>48899999.99999997</x:v>
      </x:c>
    </x:row>
    <x:row r="20">
      <x:c r="A20" s="86" t="str">
        <x:v>포트폴리오 합계</x:v>
      </x:c>
      <x:c r="B20" s="89" t="n">
        <x:f>SUM(B10:B19)</x:f>
        <x:v>-618120000</x:v>
      </x:c>
      <x:c r="C20" s="89" t="n">
        <x:f>SUM(C10:C19)</x:f>
        <x:v>23849999.999999985</x:v>
      </x:c>
      <x:c r="D20" s="89" t="n">
        <x:f>SUM(D10:D19)</x:f>
        <x:v>608220000</x:v>
      </x:c>
    </x:row>
  </x:sheetData>
  <x:mergeCells>
    <x:mergeCell ref="A1:D1"/>
    <x:mergeCell ref="A2:D2"/>
    <x:mergeCell ref="A3:D3"/>
    <x:mergeCell ref="A8:D8"/>
  </x:mergeCells>
  <x:conditionalFormatting sqref="B10:D20">
    <x:cfRule type="cellIs" dxfId="3" priority="1" operator="lessThan">
      <x:formula>0</x:formula>
    </x:cfRule>
    <x:cfRule type="cellIs" dxfId="4" priority="2" operator="greaterThanOr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:xSplit="1" x:ySplit="7" x:topLeftCell="B8" x:activePane="bottomRight" x:state="frozen"/>
    </x:sheetView>
  </x:sheetViews>
  <x:sheetFormatPr defaultRowHeight="15"/>
  <x:cols>
    <x:col min="1" max="1" width="16" hidden="0" customWidth="1"/>
    <x:col min="2" max="2" width="31" hidden="0" customWidth="1"/>
    <x:col min="3" max="3" width="16" hidden="0" customWidth="1"/>
    <x:col min="4" max="4" width="18" hidden="0" customWidth="1"/>
    <x:col min="5" max="5" width="4" hidden="0" customWidth="1"/>
    <x:col min="6" max="6" width="15" hidden="0" customWidth="1"/>
    <x:col min="7" max="7" width="20" hidden="0" customWidth="1"/>
    <x:col min="8" max="8" width="18" hidden="0" customWidth="1"/>
  </x:cols>
  <x:sheetData>
    <x:row r="1" ht="30" customHeight="1">
      <x:c r="A1" s="4" t="str">
        <x:v>B2B SaaS 투자 포트폴리오 대시보드 · 경영진용</x:v>
      </x:c>
      <x:c r="B1" s="4"/>
      <x:c r="C1" s="4"/>
      <x:c r="D1" s="4"/>
      <x:c r="E1" s="4"/>
      <x:c r="F1" s="4"/>
      <x:c r="G1" s="4"/>
      <x:c r="H1" s="4"/>
    </x:row>
    <x:row r="2">
      <x:c r="A2" s="6" t="str">
        <x:v>Reference: gpt-5.6-luna-xhigh-saas-portfolio.xlsx</x:v>
      </x:c>
      <x:c r="B2" s="6"/>
      <x:c r="C2" s="6"/>
      <x:c r="D2" s="6"/>
      <x:c r="E2" s="6"/>
      <x:c r="F2" s="6"/>
      <x:c r="G2" s="6"/>
      <x:c r="H2" s="6"/>
    </x:row>
    <x:row r="3">
      <x:c r="A3" s="91" t="str">
        <x:v>총 투자액</x:v>
      </x:c>
      <x:c r="B3" s="91"/>
      <x:c r="C3" s="91" t="str">
        <x:v>예상 ARR</x:v>
      </x:c>
      <x:c r="D3" s="91"/>
      <x:c r="E3" s="91" t="str">
        <x:v>Base 순가치</x:v>
      </x:c>
      <x:c r="F3" s="91"/>
      <x:c r="G3" s="91" t="str">
        <x:v>가중 성공확률</x:v>
      </x:c>
      <x:c r="H3" s="91"/>
    </x:row>
    <x:row r="4" ht="30" customHeight="1">
      <x:c r="A4" s="94" t="n">
        <x:f>SUM('Portfolio'!$D$8:$D$17)+12*SUM('Portfolio'!$E$8:$E$17)</x:f>
        <x:v>1152000000</x:v>
      </x:c>
      <x:c r="B4" s="94"/>
      <x:c r="C4" s="94" t="n">
        <x:f>SUM('Portfolio'!$H$8:$H$17)</x:f>
        <x:v>1175850000</x:v>
      </x:c>
      <x:c r="D4" s="94"/>
      <x:c r="E4" s="94" t="n">
        <x:f>SUM('Portfolio'!$I$8:$I$17)</x:f>
        <x:v>23849999.999999985</x:v>
      </x:c>
      <x:c r="F4" s="94"/>
      <x:c r="G4" s="95" t="n">
        <x:f>SUMPRODUCT('Portfolio'!$B$8:$B$17,'Portfolio'!$C$8:$C$17)/SUM('Portfolio'!$B$8:$B$17)</x:f>
        <x:v>0.603</x:v>
      </x:c>
      <x:c r="H4" s="95"/>
    </x:row>
    <x:row r="6" ht="24" customHeight="1">
      <x:c r="A6" s="12" t="str">
        <x:v>상위 3개 우선순위</x:v>
      </x:c>
      <x:c r="B6" s="12"/>
      <x:c r="C6" s="12"/>
      <x:c r="D6" s="12"/>
      <x:c r="F6" s="12" t="str">
        <x:v>시나리오 순가치 비교</x:v>
      </x:c>
      <x:c r="G6" s="12"/>
      <x:c r="H6" s="12"/>
    </x:row>
    <x:row r="7">
      <x:c r="A7" s="27" t="str">
        <x:v>순위</x:v>
      </x:c>
      <x:c r="B7" s="27" t="str">
        <x:v>투자안</x:v>
      </x:c>
      <x:c r="C7" s="27" t="str">
        <x:v>리스크조정점수</x:v>
      </x:c>
      <x:c r="D7" s="27" t="str">
        <x:v>Base 순가치(원)</x:v>
      </x:c>
      <x:c r="F7" s="27" t="str">
        <x:v>시나리오</x:v>
      </x:c>
      <x:c r="G7" s="27" t="str">
        <x:v>포트폴리오 순가치(원)</x:v>
      </x:c>
      <x:c r="H7" s="27" t="str">
        <x:v>Base 대비(원)</x:v>
      </x:c>
    </x:row>
    <x:row r="8">
      <x:c r="A8" s="99" t="n">
        <x:v>1</x:v>
      </x:c>
      <x:c r="B8" s="103" t="str">
        <x:f>INDEX('Portfolio'!$A$8:$A$17,MATCH($A8,'Portfolio'!$L$8:$L$17,0))</x:f>
        <x:v>API 모니터링·개발자 포털 SaaS</x:v>
      </x:c>
      <x:c r="C8" s="101" t="n">
        <x:f>INDEX('Portfolio'!$K$8:$K$17,MATCH($A8,'Portfolio'!$L$8:$L$17,0))</x:f>
        <x:v>58.81666666666667</x:v>
      </x:c>
      <x:c r="D8" s="102" t="n">
        <x:f>INDEX('Portfolio'!$I$8:$I$17,MATCH($A8,'Portfolio'!$L$8:$L$17,0))</x:f>
        <x:v>25500000</x:v>
      </x:c>
      <x:c r="F8" s="107" t="str">
        <x:f>'Scenarios'!$A$4</x:f>
        <x:v>Downside</x:v>
      </x:c>
      <x:c r="G8" s="117" t="n">
        <x:f>'Scenarios'!$B$20</x:f>
        <x:v>-618120000</x:v>
      </x:c>
      <x:c r="H8" s="118" t="n">
        <x:f>G8-$G$9</x:f>
        <x:v>-641970000</x:v>
      </x:c>
    </x:row>
    <x:row r="9">
      <x:c r="A9" s="99" t="n">
        <x:v>2</x:v>
      </x:c>
      <x:c r="B9" s="103" t="str">
        <x:f>INDEX('Portfolio'!$A$8:$A$17,MATCH($A9,'Portfolio'!$L$8:$L$17,0))</x:f>
        <x:v>영업 파이프라인 자동화 CRM SaaS</x:v>
      </x:c>
      <x:c r="C9" s="101" t="n">
        <x:f>INDEX('Portfolio'!$K$8:$K$17,MATCH($A9,'Portfolio'!$L$8:$L$17,0))</x:f>
        <x:v>54.5027027027027</x:v>
      </x:c>
      <x:c r="D9" s="102" t="n">
        <x:f>INDEX('Portfolio'!$I$8:$I$17,MATCH($A9,'Portfolio'!$L$8:$L$17,0))</x:f>
        <x:v>18600000</x:v>
      </x:c>
      <x:c r="F9" s="108" t="str">
        <x:f>'Scenarios'!$A$5</x:f>
        <x:v>Base</x:v>
      </x:c>
      <x:c r="G9" s="119" t="n">
        <x:f>'Scenarios'!$C$20</x:f>
        <x:v>23849999.999999985</x:v>
      </x:c>
      <x:c r="H9" s="120" t="n">
        <x:f>G9-$G$9</x:f>
        <x:v>0</x:v>
      </x:c>
    </x:row>
    <x:row r="10">
      <x:c r="A10" s="99" t="n">
        <x:v>3</x:v>
      </x:c>
      <x:c r="B10" s="103" t="str">
        <x:f>INDEX('Portfolio'!$A$8:$A$17,MATCH($A10,'Portfolio'!$L$8:$L$17,0))</x:f>
        <x:v>HR 인력계획·스킬 매칭 SaaS</x:v>
      </x:c>
      <x:c r="C10" s="101" t="n">
        <x:f>INDEX('Portfolio'!$K$8:$K$17,MATCH($A10,'Portfolio'!$L$8:$L$17,0))</x:f>
        <x:v>51.3289156626506</x:v>
      </x:c>
      <x:c r="D10" s="102" t="n">
        <x:f>INDEX('Portfolio'!$I$8:$I$17,MATCH($A10,'Portfolio'!$L$8:$L$17,0))</x:f>
        <x:v>15000000</x:v>
      </x:c>
      <x:c r="F10" s="109" t="str">
        <x:f>'Scenarios'!$A$6</x:f>
        <x:v>Upside</x:v>
      </x:c>
      <x:c r="G10" s="121" t="n">
        <x:f>'Scenarios'!$D$20</x:f>
        <x:v>608220000</x:v>
      </x:c>
      <x:c r="H10" s="46" t="n">
        <x:f>G10-$G$9</x:f>
        <x:v>584370000</x:v>
      </x:c>
    </x:row>
    <x:row r="12">
      <x:c r="A12" s="123" t="str">
        <x:v>시각화: 상위 우선순위와 시나리오 스트레스를 한 화면에서 비교</x:v>
      </x:c>
      <x:c r="B12" s="123"/>
      <x:c r="C12" s="123"/>
      <x:c r="D12" s="123"/>
      <x:c r="E12" s="123"/>
      <x:c r="F12" s="123"/>
      <x:c r="G12" s="123"/>
      <x:c r="H12" s="123"/>
    </x:row>
    <x:row r="29" ht="24" customHeight="1">
      <x:c r="A29" s="12" t="str">
        <x:v>경영진 권고 요약</x:v>
      </x:c>
      <x:c r="B29" s="12"/>
      <x:c r="C29" s="12"/>
      <x:c r="D29" s="12"/>
      <x:c r="E29" s="12"/>
      <x:c r="F29" s="12"/>
      <x:c r="G29" s="12"/>
      <x:c r="H29" s="12"/>
    </x:row>
    <x:row r="30" ht="24" customHeight="1">
      <x:c r="A30" s="126" t="str">
        <x:f>IF($G$8&lt;0,"권고: 상위 3개만 단계적으로 검증하고 Downside 방어를 우선합니다.","권고: 상위 3개 우선 집행을 검토합니다.")</x:f>
        <x:v>권고: 상위 3개만 단계적으로 검증하고 Downside 방어를 우선합니다.</x:v>
      </x:c>
      <x:c r="B30" s="126"/>
      <x:c r="C30" s="126"/>
      <x:c r="D30" s="126"/>
      <x:c r="E30" s="126"/>
      <x:c r="F30" s="126"/>
      <x:c r="G30" s="126"/>
      <x:c r="H30" s="126"/>
    </x:row>
    <x:row r="31" ht="24" customHeight="1">
      <x:c r="A31" s="129" t="str">
        <x:f>IF($E$4&gt;0,"Base 순가치 양수: 우선순위 1~3위 조합을 먼저 검증합니다.","Base 순가치 음수: 투자안 재선별이 필요합니다.")</x:f>
        <x:v>Base 순가치 양수: 우선순위 1~3위 조합을 먼저 검증합니다.</x:v>
      </x:c>
      <x:c r="B31" s="129"/>
      <x:c r="C31" s="129"/>
      <x:c r="D31" s="129"/>
      <x:c r="E31" s="129"/>
      <x:c r="F31" s="129"/>
      <x:c r="G31" s="129"/>
      <x:c r="H31" s="129"/>
    </x:row>
    <x:row r="32" ht="24" customHeight="1">
      <x:c r="A32" s="129" t="str">
        <x:f>IF($G$10&gt;$G$9,"Upside 확장 여지: 성공확률 개선과 ARR 확장을 병행합니다.","Upside 확장성 제한: ARR 가정을 보수적으로 관리합니다.")</x:f>
        <x:v>Upside 확장 여지: 성공확률 개선과 ARR 확장을 병행합니다.</x:v>
      </x:c>
      <x:c r="B32" s="129"/>
      <x:c r="C32" s="129"/>
      <x:c r="D32" s="129"/>
      <x:c r="E32" s="129"/>
      <x:c r="F32" s="129"/>
      <x:c r="G32" s="129"/>
      <x:c r="H32" s="129"/>
    </x:row>
  </x:sheetData>
  <x:mergeCells>
    <x:mergeCell ref="A1:H1"/>
    <x:mergeCell ref="A2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D6"/>
    <x:mergeCell ref="F6:H6"/>
    <x:mergeCell ref="A12:H12"/>
    <x:mergeCell ref="A29:H29"/>
    <x:mergeCell ref="A30:H30"/>
    <x:mergeCell ref="A31:H31"/>
    <x:mergeCell ref="A32:H32"/>
  </x:mergeCells>
  <x:conditionalFormatting sqref="G8:G10">
    <x:cfRule type="cellIs" dxfId="5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7173d02f0494c5e"/>
</x:worksheet>
</file>