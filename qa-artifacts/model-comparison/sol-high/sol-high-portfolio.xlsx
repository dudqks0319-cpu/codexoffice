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rtfolio" sheetId="1" state="visible" r:id="rId3"/>
    <sheet name="Scenarios" sheetId="2" state="visible" r:id="rId4"/>
    <sheet name="Dashboard" sheetId="3" state="visible" r:id="rId5"/>
  </sheets>
  <definedNames>
    <definedName function="false" hidden="false" localSheetId="2" name="_xlnm.Print_Area" vbProcedure="false">Dashboard!$A$1:$L$34</definedName>
    <definedName function="false" hidden="false" localSheetId="0" name="_xlnm.Print_Area" vbProcedure="false">Portfolio!$A$1:$L$18</definedName>
    <definedName function="false" hidden="false" localSheetId="0" name="_xlnm.Print_Titles" vbProcedure="false">Portfolio!$1:$7</definedName>
    <definedName function="false" hidden="true" localSheetId="0" name="_xlnm._FilterDatabase" vbProcedure="false">Portfolio!$A$7:$L$17</definedName>
    <definedName function="false" hidden="false" localSheetId="1" name="_xlnm.Print_Area" vbProcedure="false">Scenarios!$A$1:$D$20</definedName>
    <definedName function="false" hidden="false" localSheetId="1" name="_xlnm.Print_Titles" vbProcedure="false">Scenarios!$1:$9</definedName>
    <definedName function="false" hidden="true" localSheetId="1" name="_xlnm._FilterDatabase" vbProcedure="false">Scenarios!$A$9:$D$19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<sst xmlns="http://schemas.openxmlformats.org/spreadsheetml/2006/main" count="59" uniqueCount="56">
  <si>
    <r>
      <rPr>
        <b val="true"/>
        <sz val="20"/>
        <color rgb="FFF8FAFC"/>
        <rFont val="Nanum Gothic"/>
        <family val="0"/>
        <charset val="1"/>
      </rPr>
      <t xml:space="preserve">B2B SaaS </t>
    </r>
    <r>
      <rPr>
        <b val="true"/>
        <sz val="20"/>
        <color rgb="FFF8FAFC"/>
        <rFont val="Linux Libertine G"/>
        <family val="2"/>
      </rPr>
      <t xml:space="preserve">이니셔티브 포트폴리오 평가</t>
    </r>
  </si>
  <si>
    <t xml:space="preserve">가정</t>
  </si>
  <si>
    <t xml:space="preserve">전략 가중치</t>
  </si>
  <si>
    <t xml:space="preserve">재무 가중치</t>
  </si>
  <si>
    <t xml:space="preserve">리스크 가중치</t>
  </si>
  <si>
    <t xml:space="preserve">가중치 합계</t>
  </si>
  <si>
    <r>
      <rPr>
        <b val="true"/>
        <sz val="10"/>
        <color rgb="FFF8FAFC"/>
        <rFont val="Nanum Gothic"/>
        <family val="0"/>
        <charset val="1"/>
      </rPr>
      <t xml:space="preserve">100% </t>
    </r>
    <r>
      <rPr>
        <b val="true"/>
        <sz val="10"/>
        <color rgb="FFF8FAFC"/>
        <rFont val="Linux Libertine G"/>
        <family val="2"/>
      </rPr>
      <t xml:space="preserve">검증</t>
    </r>
  </si>
  <si>
    <t xml:space="preserve">기준</t>
  </si>
  <si>
    <t xml:space="preserve">이니셔티브</t>
  </si>
  <si>
    <r>
      <rPr>
        <b val="true"/>
        <sz val="10"/>
        <color rgb="FFF8FAFC"/>
        <rFont val="Linux Libertine G"/>
        <family val="2"/>
      </rPr>
      <t xml:space="preserve">예상 </t>
    </r>
    <r>
      <rPr>
        <b val="true"/>
        <sz val="10"/>
        <color rgb="FFF8FAFC"/>
        <rFont val="Nanum Gothic"/>
        <family val="0"/>
        <charset val="1"/>
      </rPr>
      <t xml:space="preserve">ARR(</t>
    </r>
    <r>
      <rPr>
        <b val="true"/>
        <sz val="10"/>
        <color rgb="FFF8FAFC"/>
        <rFont val="Linux Libertine G"/>
        <family val="2"/>
      </rPr>
      <t xml:space="preserve">원</t>
    </r>
    <r>
      <rPr>
        <b val="true"/>
        <sz val="10"/>
        <color rgb="FFF8FAFC"/>
        <rFont val="Nanum Gothic"/>
        <family val="0"/>
        <charset val="1"/>
      </rPr>
      <t xml:space="preserve">)</t>
    </r>
  </si>
  <si>
    <t xml:space="preserve">성공확률</t>
  </si>
  <si>
    <r>
      <rPr>
        <b val="true"/>
        <sz val="10"/>
        <color rgb="FFF8FAFC"/>
        <rFont val="Linux Libertine G"/>
        <family val="2"/>
      </rPr>
      <t xml:space="preserve">초기개발비</t>
    </r>
    <r>
      <rPr>
        <b val="true"/>
        <sz val="10"/>
        <color rgb="FFF8FAFC"/>
        <rFont val="Nanum Gothic"/>
        <family val="0"/>
        <charset val="1"/>
      </rPr>
      <t xml:space="preserve">(</t>
    </r>
    <r>
      <rPr>
        <b val="true"/>
        <sz val="10"/>
        <color rgb="FFF8FAFC"/>
        <rFont val="Linux Libertine G"/>
        <family val="2"/>
      </rPr>
      <t xml:space="preserve">원</t>
    </r>
    <r>
      <rPr>
        <b val="true"/>
        <sz val="10"/>
        <color rgb="FFF8FAFC"/>
        <rFont val="Nanum Gothic"/>
        <family val="0"/>
        <charset val="1"/>
      </rPr>
      <t xml:space="preserve">)</t>
    </r>
  </si>
  <si>
    <r>
      <rPr>
        <b val="true"/>
        <sz val="10"/>
        <color rgb="FFF8FAFC"/>
        <rFont val="Linux Libertine G"/>
        <family val="2"/>
      </rPr>
      <t xml:space="preserve">월운영비</t>
    </r>
    <r>
      <rPr>
        <b val="true"/>
        <sz val="10"/>
        <color rgb="FFF8FAFC"/>
        <rFont val="Nanum Gothic"/>
        <family val="0"/>
        <charset val="1"/>
      </rPr>
      <t xml:space="preserve">(</t>
    </r>
    <r>
      <rPr>
        <b val="true"/>
        <sz val="10"/>
        <color rgb="FFF8FAFC"/>
        <rFont val="Linux Libertine G"/>
        <family val="2"/>
      </rPr>
      <t xml:space="preserve">원</t>
    </r>
    <r>
      <rPr>
        <b val="true"/>
        <sz val="10"/>
        <color rgb="FFF8FAFC"/>
        <rFont val="Nanum Gothic"/>
        <family val="0"/>
        <charset val="1"/>
      </rPr>
      <t xml:space="preserve">)</t>
    </r>
  </si>
  <si>
    <t xml:space="preserve">전략점수</t>
  </si>
  <si>
    <t xml:space="preserve">리스크점수</t>
  </si>
  <si>
    <r>
      <rPr>
        <b val="true"/>
        <sz val="10"/>
        <color rgb="FFF8FAFC"/>
        <rFont val="Linux Libertine G"/>
        <family val="2"/>
      </rPr>
      <t xml:space="preserve">기대 </t>
    </r>
    <r>
      <rPr>
        <b val="true"/>
        <sz val="10"/>
        <color rgb="FFF8FAFC"/>
        <rFont val="Nanum Gothic"/>
        <family val="0"/>
        <charset val="1"/>
      </rPr>
      <t xml:space="preserve">ARR(</t>
    </r>
    <r>
      <rPr>
        <b val="true"/>
        <sz val="10"/>
        <color rgb="FFF8FAFC"/>
        <rFont val="Linux Libertine G"/>
        <family val="2"/>
      </rPr>
      <t xml:space="preserve">원</t>
    </r>
    <r>
      <rPr>
        <b val="true"/>
        <sz val="10"/>
        <color rgb="FFF8FAFC"/>
        <rFont val="Nanum Gothic"/>
        <family val="0"/>
        <charset val="1"/>
      </rPr>
      <t xml:space="preserve">)</t>
    </r>
  </si>
  <si>
    <r>
      <rPr>
        <b val="true"/>
        <sz val="10"/>
        <color rgb="FFF8FAFC"/>
        <rFont val="Nanum Gothic"/>
        <family val="0"/>
        <charset val="1"/>
      </rPr>
      <t xml:space="preserve">12</t>
    </r>
    <r>
      <rPr>
        <b val="true"/>
        <sz val="10"/>
        <color rgb="FFF8FAFC"/>
        <rFont val="Linux Libertine G"/>
        <family val="2"/>
      </rPr>
      <t xml:space="preserve">개월 순가치</t>
    </r>
    <r>
      <rPr>
        <b val="true"/>
        <sz val="10"/>
        <color rgb="FFF8FAFC"/>
        <rFont val="Nanum Gothic"/>
        <family val="0"/>
        <charset val="1"/>
      </rPr>
      <t xml:space="preserve">(</t>
    </r>
    <r>
      <rPr>
        <b val="true"/>
        <sz val="10"/>
        <color rgb="FFF8FAFC"/>
        <rFont val="Linux Libertine G"/>
        <family val="2"/>
      </rPr>
      <t xml:space="preserve">원</t>
    </r>
    <r>
      <rPr>
        <b val="true"/>
        <sz val="10"/>
        <color rgb="FFF8FAFC"/>
        <rFont val="Nanum Gothic"/>
        <family val="0"/>
        <charset val="1"/>
      </rPr>
      <t xml:space="preserve">)</t>
    </r>
  </si>
  <si>
    <t xml:space="preserve">ROI</t>
  </si>
  <si>
    <t xml:space="preserve">리스크조정점수</t>
  </si>
  <si>
    <t xml:space="preserve">우선순위</t>
  </si>
  <si>
    <r>
      <rPr>
        <sz val="9"/>
        <color rgb="FF0B132B"/>
        <rFont val="Linux Libertine G"/>
        <family val="2"/>
      </rPr>
      <t xml:space="preserve">영업 파이프라인 자동화 </t>
    </r>
    <r>
      <rPr>
        <sz val="9"/>
        <color rgb="FF0B132B"/>
        <rFont val="Nanum Gothic"/>
        <family val="0"/>
        <charset val="1"/>
      </rPr>
      <t xml:space="preserve">CRM SaaS</t>
    </r>
  </si>
  <si>
    <r>
      <rPr>
        <sz val="9"/>
        <color rgb="FF0B132B"/>
        <rFont val="Linux Libertine G"/>
        <family val="2"/>
      </rPr>
      <t xml:space="preserve">계약</t>
    </r>
    <r>
      <rPr>
        <sz val="9"/>
        <color rgb="FF0B132B"/>
        <rFont val="Nanum Gothic"/>
        <family val="0"/>
        <charset val="1"/>
      </rPr>
      <t xml:space="preserve">·</t>
    </r>
    <r>
      <rPr>
        <sz val="9"/>
        <color rgb="FF0B132B"/>
        <rFont val="Linux Libertine G"/>
        <family val="2"/>
      </rPr>
      <t xml:space="preserve">법무 검토 </t>
    </r>
    <r>
      <rPr>
        <sz val="9"/>
        <color rgb="FF0B132B"/>
        <rFont val="Nanum Gothic"/>
        <family val="0"/>
        <charset val="1"/>
      </rPr>
      <t xml:space="preserve">Copilot</t>
    </r>
  </si>
  <si>
    <r>
      <rPr>
        <sz val="9"/>
        <color rgb="FF0B132B"/>
        <rFont val="Nanum Gothic"/>
        <family val="0"/>
        <charset val="1"/>
      </rPr>
      <t xml:space="preserve">B2B </t>
    </r>
    <r>
      <rPr>
        <sz val="9"/>
        <color rgb="FF0B132B"/>
        <rFont val="Linux Libertine G"/>
        <family val="2"/>
      </rPr>
      <t xml:space="preserve">고객지원 </t>
    </r>
    <r>
      <rPr>
        <sz val="9"/>
        <color rgb="FF0B132B"/>
        <rFont val="Nanum Gothic"/>
        <family val="0"/>
        <charset val="1"/>
      </rPr>
      <t xml:space="preserve">AI </t>
    </r>
    <r>
      <rPr>
        <sz val="9"/>
        <color rgb="FF0B132B"/>
        <rFont val="Linux Libertine G"/>
        <family val="2"/>
      </rPr>
      <t xml:space="preserve">챗봇</t>
    </r>
  </si>
  <si>
    <r>
      <rPr>
        <sz val="9"/>
        <color rgb="FF0B132B"/>
        <rFont val="Linux Libertine G"/>
        <family val="2"/>
      </rPr>
      <t xml:space="preserve">구독형 재무분석 </t>
    </r>
    <r>
      <rPr>
        <sz val="9"/>
        <color rgb="FF0B132B"/>
        <rFont val="Nanum Gothic"/>
        <family val="0"/>
        <charset val="1"/>
      </rPr>
      <t xml:space="preserve">FP&amp;A SaaS</t>
    </r>
  </si>
  <si>
    <r>
      <rPr>
        <sz val="9"/>
        <color rgb="FF0B132B"/>
        <rFont val="Linux Libertine G"/>
        <family val="2"/>
      </rPr>
      <t xml:space="preserve">공급망 수요예측 </t>
    </r>
    <r>
      <rPr>
        <sz val="9"/>
        <color rgb="FF0B132B"/>
        <rFont val="Nanum Gothic"/>
        <family val="0"/>
        <charset val="1"/>
      </rPr>
      <t xml:space="preserve">SaaS</t>
    </r>
  </si>
  <si>
    <r>
      <rPr>
        <sz val="9"/>
        <color rgb="FF0B132B"/>
        <rFont val="Nanum Gothic"/>
        <family val="0"/>
        <charset val="1"/>
      </rPr>
      <t xml:space="preserve">HR </t>
    </r>
    <r>
      <rPr>
        <sz val="9"/>
        <color rgb="FF0B132B"/>
        <rFont val="Linux Libertine G"/>
        <family val="2"/>
      </rPr>
      <t xml:space="preserve">인력계획</t>
    </r>
    <r>
      <rPr>
        <sz val="9"/>
        <color rgb="FF0B132B"/>
        <rFont val="Nanum Gothic"/>
        <family val="0"/>
        <charset val="1"/>
      </rPr>
      <t xml:space="preserve">·</t>
    </r>
    <r>
      <rPr>
        <sz val="9"/>
        <color rgb="FF0B132B"/>
        <rFont val="Linux Libertine G"/>
        <family val="2"/>
      </rPr>
      <t xml:space="preserve">스킬 매칭 </t>
    </r>
    <r>
      <rPr>
        <sz val="9"/>
        <color rgb="FF0B132B"/>
        <rFont val="Nanum Gothic"/>
        <family val="0"/>
        <charset val="1"/>
      </rPr>
      <t xml:space="preserve">SaaS</t>
    </r>
  </si>
  <si>
    <r>
      <rPr>
        <sz val="9"/>
        <color rgb="FF0B132B"/>
        <rFont val="Linux Libertine G"/>
        <family val="2"/>
      </rPr>
      <t xml:space="preserve">보안 컴플라이언스 관리 </t>
    </r>
    <r>
      <rPr>
        <sz val="9"/>
        <color rgb="FF0B132B"/>
        <rFont val="Nanum Gothic"/>
        <family val="0"/>
        <charset val="1"/>
      </rPr>
      <t xml:space="preserve">SaaS</t>
    </r>
  </si>
  <si>
    <r>
      <rPr>
        <sz val="9"/>
        <color rgb="FF0B132B"/>
        <rFont val="Nanum Gothic"/>
        <family val="0"/>
        <charset val="1"/>
      </rPr>
      <t xml:space="preserve">API </t>
    </r>
    <r>
      <rPr>
        <sz val="9"/>
        <color rgb="FF0B132B"/>
        <rFont val="Linux Libertine G"/>
        <family val="2"/>
      </rPr>
      <t xml:space="preserve">모니터링</t>
    </r>
    <r>
      <rPr>
        <sz val="9"/>
        <color rgb="FF0B132B"/>
        <rFont val="Nanum Gothic"/>
        <family val="0"/>
        <charset val="1"/>
      </rPr>
      <t xml:space="preserve">·</t>
    </r>
    <r>
      <rPr>
        <sz val="9"/>
        <color rgb="FF0B132B"/>
        <rFont val="Linux Libertine G"/>
        <family val="2"/>
      </rPr>
      <t xml:space="preserve">개발자 포털 </t>
    </r>
    <r>
      <rPr>
        <sz val="9"/>
        <color rgb="FF0B132B"/>
        <rFont val="Nanum Gothic"/>
        <family val="0"/>
        <charset val="1"/>
      </rPr>
      <t xml:space="preserve">SaaS</t>
    </r>
  </si>
  <si>
    <r>
      <rPr>
        <sz val="9"/>
        <color rgb="FF0B132B"/>
        <rFont val="Nanum Gothic"/>
        <family val="0"/>
        <charset val="1"/>
      </rPr>
      <t xml:space="preserve">B2B </t>
    </r>
    <r>
      <rPr>
        <sz val="9"/>
        <color rgb="FF0B132B"/>
        <rFont val="Linux Libertine G"/>
        <family val="2"/>
      </rPr>
      <t xml:space="preserve">마케팅 어트리뷰션 </t>
    </r>
    <r>
      <rPr>
        <sz val="9"/>
        <color rgb="FF0B132B"/>
        <rFont val="Nanum Gothic"/>
        <family val="0"/>
        <charset val="1"/>
      </rPr>
      <t xml:space="preserve">SaaS</t>
    </r>
  </si>
  <si>
    <r>
      <rPr>
        <sz val="9"/>
        <color rgb="FF0B132B"/>
        <rFont val="Linux Libertine G"/>
        <family val="2"/>
      </rPr>
      <t xml:space="preserve">전자조달</t>
    </r>
    <r>
      <rPr>
        <sz val="9"/>
        <color rgb="FF0B132B"/>
        <rFont val="Nanum Gothic"/>
        <family val="0"/>
        <charset val="1"/>
      </rPr>
      <t xml:space="preserve">·</t>
    </r>
    <r>
      <rPr>
        <sz val="9"/>
        <color rgb="FF0B132B"/>
        <rFont val="Linux Libertine G"/>
        <family val="2"/>
      </rPr>
      <t xml:space="preserve">벤더 리스크 </t>
    </r>
    <r>
      <rPr>
        <sz val="9"/>
        <color rgb="FF0B132B"/>
        <rFont val="Nanum Gothic"/>
        <family val="0"/>
        <charset val="1"/>
      </rPr>
      <t xml:space="preserve">SaaS</t>
    </r>
  </si>
  <si>
    <r>
      <rPr>
        <b val="true"/>
        <sz val="10"/>
        <color rgb="FF0B132B"/>
        <rFont val="Linux Libertine G"/>
        <family val="2"/>
      </rPr>
      <t xml:space="preserve">합계 </t>
    </r>
    <r>
      <rPr>
        <b val="true"/>
        <sz val="10"/>
        <color rgb="FF0B132B"/>
        <rFont val="Nanum Gothic"/>
        <family val="0"/>
        <charset val="1"/>
      </rPr>
      <t xml:space="preserve">/ </t>
    </r>
    <r>
      <rPr>
        <b val="true"/>
        <sz val="10"/>
        <color rgb="FF0B132B"/>
        <rFont val="Linux Libertine G"/>
        <family val="2"/>
      </rPr>
      <t xml:space="preserve">가중 평균</t>
    </r>
  </si>
  <si>
    <r>
      <rPr>
        <b val="true"/>
        <sz val="20"/>
        <color rgb="FFF8FAFC"/>
        <rFont val="Nanum Gothic"/>
        <family val="0"/>
        <charset val="1"/>
      </rPr>
      <t xml:space="preserve">B2B SaaS </t>
    </r>
    <r>
      <rPr>
        <b val="true"/>
        <sz val="20"/>
        <color rgb="FFF8FAFC"/>
        <rFont val="Linux Libertine G"/>
        <family val="2"/>
      </rPr>
      <t xml:space="preserve">시나리오 분석</t>
    </r>
  </si>
  <si>
    <t xml:space="preserve">시나리오</t>
  </si>
  <si>
    <r>
      <rPr>
        <b val="true"/>
        <sz val="10"/>
        <color rgb="FFF8FAFC"/>
        <rFont val="Nanum Gothic"/>
        <family val="0"/>
        <charset val="1"/>
      </rPr>
      <t xml:space="preserve">ARR </t>
    </r>
    <r>
      <rPr>
        <b val="true"/>
        <sz val="10"/>
        <color rgb="FFF8FAFC"/>
        <rFont val="Linux Libertine G"/>
        <family val="2"/>
      </rPr>
      <t xml:space="preserve">배수</t>
    </r>
  </si>
  <si>
    <t xml:space="preserve">성공확률 조정</t>
  </si>
  <si>
    <t xml:space="preserve">비용 배수</t>
  </si>
  <si>
    <t xml:space="preserve">Downside</t>
  </si>
  <si>
    <t xml:space="preserve">Base</t>
  </si>
  <si>
    <t xml:space="preserve">Upside</t>
  </si>
  <si>
    <r>
      <rPr>
        <b val="true"/>
        <sz val="10"/>
        <color rgb="FFF8FAFC"/>
        <rFont val="Nanum Gothic"/>
        <family val="0"/>
        <charset val="1"/>
      </rPr>
      <t xml:space="preserve">Downside </t>
    </r>
    <r>
      <rPr>
        <b val="true"/>
        <sz val="10"/>
        <color rgb="FFF8FAFC"/>
        <rFont val="Linux Libertine G"/>
        <family val="2"/>
      </rPr>
      <t xml:space="preserve">기대 순가치</t>
    </r>
    <r>
      <rPr>
        <b val="true"/>
        <sz val="10"/>
        <color rgb="FFF8FAFC"/>
        <rFont val="Nanum Gothic"/>
        <family val="0"/>
        <charset val="1"/>
      </rPr>
      <t xml:space="preserve">(</t>
    </r>
    <r>
      <rPr>
        <b val="true"/>
        <sz val="10"/>
        <color rgb="FFF8FAFC"/>
        <rFont val="Linux Libertine G"/>
        <family val="2"/>
      </rPr>
      <t xml:space="preserve">원</t>
    </r>
    <r>
      <rPr>
        <b val="true"/>
        <sz val="10"/>
        <color rgb="FFF8FAFC"/>
        <rFont val="Nanum Gothic"/>
        <family val="0"/>
        <charset val="1"/>
      </rPr>
      <t xml:space="preserve">)</t>
    </r>
  </si>
  <si>
    <r>
      <rPr>
        <b val="true"/>
        <sz val="10"/>
        <color rgb="FFF8FAFC"/>
        <rFont val="Nanum Gothic"/>
        <family val="0"/>
        <charset val="1"/>
      </rPr>
      <t xml:space="preserve">Base </t>
    </r>
    <r>
      <rPr>
        <b val="true"/>
        <sz val="10"/>
        <color rgb="FFF8FAFC"/>
        <rFont val="Linux Libertine G"/>
        <family val="2"/>
      </rPr>
      <t xml:space="preserve">기대 순가치</t>
    </r>
    <r>
      <rPr>
        <b val="true"/>
        <sz val="10"/>
        <color rgb="FFF8FAFC"/>
        <rFont val="Nanum Gothic"/>
        <family val="0"/>
        <charset val="1"/>
      </rPr>
      <t xml:space="preserve">(</t>
    </r>
    <r>
      <rPr>
        <b val="true"/>
        <sz val="10"/>
        <color rgb="FFF8FAFC"/>
        <rFont val="Linux Libertine G"/>
        <family val="2"/>
      </rPr>
      <t xml:space="preserve">원</t>
    </r>
    <r>
      <rPr>
        <b val="true"/>
        <sz val="10"/>
        <color rgb="FFF8FAFC"/>
        <rFont val="Nanum Gothic"/>
        <family val="0"/>
        <charset val="1"/>
      </rPr>
      <t xml:space="preserve">)</t>
    </r>
  </si>
  <si>
    <r>
      <rPr>
        <b val="true"/>
        <sz val="10"/>
        <color rgb="FFF8FAFC"/>
        <rFont val="Nanum Gothic"/>
        <family val="0"/>
        <charset val="1"/>
      </rPr>
      <t xml:space="preserve">Upside </t>
    </r>
    <r>
      <rPr>
        <b val="true"/>
        <sz val="10"/>
        <color rgb="FFF8FAFC"/>
        <rFont val="Linux Libertine G"/>
        <family val="2"/>
      </rPr>
      <t xml:space="preserve">기대 순가치</t>
    </r>
    <r>
      <rPr>
        <b val="true"/>
        <sz val="10"/>
        <color rgb="FFF8FAFC"/>
        <rFont val="Nanum Gothic"/>
        <family val="0"/>
        <charset val="1"/>
      </rPr>
      <t xml:space="preserve">(</t>
    </r>
    <r>
      <rPr>
        <b val="true"/>
        <sz val="10"/>
        <color rgb="FFF8FAFC"/>
        <rFont val="Linux Libertine G"/>
        <family val="2"/>
      </rPr>
      <t xml:space="preserve">원</t>
    </r>
    <r>
      <rPr>
        <b val="true"/>
        <sz val="10"/>
        <color rgb="FFF8FAFC"/>
        <rFont val="Nanum Gothic"/>
        <family val="0"/>
        <charset val="1"/>
      </rPr>
      <t xml:space="preserve">)</t>
    </r>
  </si>
  <si>
    <t xml:space="preserve">포트폴리오 합계</t>
  </si>
  <si>
    <r>
      <rPr>
        <b val="true"/>
        <sz val="20"/>
        <color rgb="FFF8FAFC"/>
        <rFont val="Nanum Gothic"/>
        <family val="0"/>
        <charset val="1"/>
      </rPr>
      <t xml:space="preserve">B2B SaaS </t>
    </r>
    <r>
      <rPr>
        <b val="true"/>
        <sz val="20"/>
        <color rgb="FFF8FAFC"/>
        <rFont val="Linux Libertine G"/>
        <family val="2"/>
      </rPr>
      <t xml:space="preserve">투자 포트폴리오 대시보드</t>
    </r>
  </si>
  <si>
    <t xml:space="preserve">총 투자액</t>
  </si>
  <si>
    <r>
      <rPr>
        <b val="true"/>
        <sz val="9"/>
        <color rgb="FFE2E8F0"/>
        <rFont val="Linux Libertine G"/>
        <family val="2"/>
      </rPr>
      <t xml:space="preserve">예상 </t>
    </r>
    <r>
      <rPr>
        <b val="true"/>
        <sz val="9"/>
        <color rgb="FFE2E8F0"/>
        <rFont val="Nanum Gothic"/>
        <family val="0"/>
        <charset val="1"/>
      </rPr>
      <t xml:space="preserve">ARR</t>
    </r>
  </si>
  <si>
    <r>
      <rPr>
        <b val="true"/>
        <sz val="9"/>
        <color rgb="FFE2E8F0"/>
        <rFont val="Nanum Gothic"/>
        <family val="0"/>
        <charset val="1"/>
      </rPr>
      <t xml:space="preserve">Base </t>
    </r>
    <r>
      <rPr>
        <b val="true"/>
        <sz val="9"/>
        <color rgb="FFE2E8F0"/>
        <rFont val="Linux Libertine G"/>
        <family val="2"/>
      </rPr>
      <t xml:space="preserve">순가치</t>
    </r>
  </si>
  <si>
    <t xml:space="preserve">가중 성공확률</t>
  </si>
  <si>
    <t xml:space="preserve">가중 이탈률</t>
  </si>
  <si>
    <t xml:space="preserve">순위</t>
  </si>
  <si>
    <t xml:space="preserve">우선 투자안</t>
  </si>
  <si>
    <r>
      <rPr>
        <b val="true"/>
        <sz val="10"/>
        <color rgb="FFF8FAFC"/>
        <rFont val="Nanum Gothic"/>
        <family val="0"/>
        <charset val="1"/>
      </rPr>
      <t xml:space="preserve">Base </t>
    </r>
    <r>
      <rPr>
        <b val="true"/>
        <sz val="10"/>
        <color rgb="FFF8FAFC"/>
        <rFont val="Linux Libertine G"/>
        <family val="2"/>
      </rPr>
      <t xml:space="preserve">순가치</t>
    </r>
    <r>
      <rPr>
        <b val="true"/>
        <sz val="10"/>
        <color rgb="FFF8FAFC"/>
        <rFont val="Nanum Gothic"/>
        <family val="0"/>
        <charset val="1"/>
      </rPr>
      <t xml:space="preserve">(</t>
    </r>
    <r>
      <rPr>
        <b val="true"/>
        <sz val="10"/>
        <color rgb="FFF8FAFC"/>
        <rFont val="Linux Libertine G"/>
        <family val="2"/>
      </rPr>
      <t xml:space="preserve">원</t>
    </r>
    <r>
      <rPr>
        <b val="true"/>
        <sz val="10"/>
        <color rgb="FFF8FAFC"/>
        <rFont val="Nanum Gothic"/>
        <family val="0"/>
        <charset val="1"/>
      </rPr>
      <t xml:space="preserve">)</t>
    </r>
  </si>
  <si>
    <r>
      <rPr>
        <b val="true"/>
        <sz val="10"/>
        <color rgb="FFF8FAFC"/>
        <rFont val="Linux Libertine G"/>
        <family val="2"/>
      </rPr>
      <t xml:space="preserve">포트폴리오 순가치</t>
    </r>
    <r>
      <rPr>
        <b val="true"/>
        <sz val="10"/>
        <color rgb="FFF8FAFC"/>
        <rFont val="Nanum Gothic"/>
        <family val="0"/>
        <charset val="1"/>
      </rPr>
      <t xml:space="preserve">(</t>
    </r>
    <r>
      <rPr>
        <b val="true"/>
        <sz val="10"/>
        <color rgb="FFF8FAFC"/>
        <rFont val="Linux Libertine G"/>
        <family val="2"/>
      </rPr>
      <t xml:space="preserve">원</t>
    </r>
    <r>
      <rPr>
        <b val="true"/>
        <sz val="10"/>
        <color rgb="FFF8FAFC"/>
        <rFont val="Nanum Gothic"/>
        <family val="0"/>
        <charset val="1"/>
      </rPr>
      <t xml:space="preserve">)</t>
    </r>
  </si>
  <si>
    <r>
      <rPr>
        <b val="true"/>
        <sz val="10"/>
        <color rgb="FFF8FAFC"/>
        <rFont val="Linux Libertine G"/>
        <family val="2"/>
      </rPr>
      <t xml:space="preserve">기준 대비</t>
    </r>
    <r>
      <rPr>
        <b val="true"/>
        <sz val="10"/>
        <color rgb="FFF8FAFC"/>
        <rFont val="Nanum Gothic"/>
        <family val="0"/>
        <charset val="1"/>
      </rPr>
      <t xml:space="preserve">(</t>
    </r>
    <r>
      <rPr>
        <b val="true"/>
        <sz val="10"/>
        <color rgb="FFF8FAFC"/>
        <rFont val="Linux Libertine G"/>
        <family val="2"/>
      </rPr>
      <t xml:space="preserve">원</t>
    </r>
    <r>
      <rPr>
        <b val="true"/>
        <sz val="10"/>
        <color rgb="FFF8FAFC"/>
        <rFont val="Nanum Gothic"/>
        <family val="0"/>
        <charset val="1"/>
      </rPr>
      <t xml:space="preserve">)</t>
    </r>
  </si>
  <si>
    <t xml:space="preserve">판정</t>
  </si>
  <si>
    <t xml:space="preserve">경영진 권고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</si>
</sst>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\₩#,##0;[RED]&quot;-₩&quot;#,##0"/>
    <numFmt numFmtId="167" formatCode="0.0%"/>
    <numFmt numFmtId="168" formatCode="0.0"/>
    <numFmt numFmtId="169" formatCode="0"/>
    <numFmt numFmtId="170" formatCode="\+0%;\-0%;0%"/>
    <numFmt numFmtId="171" formatCode="\₩#,##0"/>
  </numFmts>
  <fonts count="24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8FAFC"/>
      <name val="Nanum Gothic"/>
      <family val="0"/>
      <charset val="1"/>
    </font>
    <font>
      <b val="true"/>
      <sz val="20"/>
      <color rgb="FFF8FAFC"/>
      <name val="Linux Libertine G"/>
      <family val="2"/>
    </font>
    <font>
      <b val="true"/>
      <sz val="10"/>
      <color rgb="FFF8FAFC"/>
      <name val="Linux Libertine G"/>
      <family val="2"/>
    </font>
    <font>
      <b val="true"/>
      <sz val="10"/>
      <color rgb="FFF8FAFC"/>
      <name val="Nanum Gothic"/>
      <family val="0"/>
      <charset val="1"/>
    </font>
    <font>
      <sz val="10"/>
      <color rgb="FF0B132B"/>
      <name val="Linux Libertine G"/>
      <family val="2"/>
    </font>
    <font>
      <sz val="10"/>
      <color rgb="FF0B132B"/>
      <name val="Nanum Gothic"/>
      <family val="0"/>
      <charset val="1"/>
    </font>
    <font>
      <sz val="9"/>
      <color rgb="FF0B132B"/>
      <name val="Linux Libertine G"/>
      <family val="2"/>
    </font>
    <font>
      <sz val="9"/>
      <color rgb="FF0B132B"/>
      <name val="Nanum Gothic"/>
      <family val="0"/>
      <charset val="1"/>
    </font>
    <font>
      <b val="true"/>
      <sz val="10"/>
      <color rgb="FF0B132B"/>
      <name val="Linux Libertine G"/>
      <family val="2"/>
    </font>
    <font>
      <b val="true"/>
      <sz val="10"/>
      <color rgb="FF0B132B"/>
      <name val="Nanum Gothic"/>
      <family val="0"/>
      <charset val="1"/>
    </font>
    <font>
      <b val="true"/>
      <sz val="9"/>
      <color rgb="FFE2E8F0"/>
      <name val="Linux Libertine G"/>
      <family val="2"/>
    </font>
    <font>
      <b val="true"/>
      <sz val="9"/>
      <color rgb="FFE2E8F0"/>
      <name val="Nanum Gothic"/>
      <family val="0"/>
      <charset val="1"/>
    </font>
    <font>
      <b val="true"/>
      <sz val="16"/>
      <color rgb="FF0F766E"/>
      <name val="Nanum Gothic"/>
      <family val="0"/>
      <charset val="1"/>
    </font>
    <font>
      <b val="true"/>
      <sz val="11"/>
      <color rgb="FF5EEAD4"/>
      <name val="Linux Libertine G"/>
      <family val="2"/>
    </font>
    <font>
      <b val="true"/>
      <sz val="12"/>
      <color rgb="FF0B132B"/>
      <name val="Nanum Gothic"/>
      <family val="0"/>
      <charset val="1"/>
    </font>
    <font>
      <b val="true"/>
      <sz val="18"/>
      <color rgb="FF000000"/>
      <name val="Linux Libertine G"/>
      <family val="2"/>
    </font>
    <font>
      <b val="true"/>
      <sz val="18"/>
      <color rgb="FF000000"/>
      <name val="Calibri"/>
      <family val="2"/>
    </font>
    <font>
      <sz val="10"/>
      <color rgb="FF000000"/>
      <name val="Linux Libertine G"/>
      <family val="2"/>
    </font>
    <font>
      <b val="true"/>
      <sz val="10"/>
      <color rgb="FF000000"/>
      <name val="Linux Libertine G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B132B"/>
        <bgColor rgb="FF14213D"/>
      </patternFill>
    </fill>
    <fill>
      <patternFill patternType="solid">
        <fgColor rgb="FF14213D"/>
        <bgColor rgb="FF0B132B"/>
      </patternFill>
    </fill>
    <fill>
      <patternFill patternType="solid">
        <fgColor rgb="FFF1F5F9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CCFBF1"/>
        <bgColor rgb="FFDCFCE7"/>
      </patternFill>
    </fill>
    <fill>
      <patternFill patternType="solid">
        <fgColor rgb="FFECFDF5"/>
        <bgColor rgb="FFF1F5F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5EEAD4"/>
      </bottom>
      <diagonal/>
    </border>
    <border diagonalUp="false" diagonalDown="false">
      <left/>
      <right/>
      <top/>
      <bottom style="thin">
        <color rgb="FFCBD5E1"/>
      </bottom>
      <diagonal/>
    </border>
    <border diagonalUp="false" diagonalDown="false">
      <left/>
      <right/>
      <top style="medium">
        <color rgb="FF0F766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1" fillId="6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1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1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2">
    <dxf>
      <fill>
        <patternFill patternType="solid">
          <fgColor rgb="FF14213D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B132B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3FAE0"/>
          <bgColor rgb="FF000000"/>
        </patternFill>
      </fill>
    </dxf>
    <dxf>
      <fill>
        <patternFill patternType="solid">
          <fgColor rgb="FFE7FADD"/>
          <bgColor rgb="FF000000"/>
        </patternFill>
      </fill>
    </dxf>
    <dxf>
      <fill>
        <patternFill patternType="solid">
          <fgColor rgb="FFF0F7D4"/>
          <bgColor rgb="FF000000"/>
        </patternFill>
      </fill>
    </dxf>
    <dxf>
      <fill>
        <patternFill patternType="solid">
          <fgColor rgb="FFFBF4CA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DAC8"/>
          <bgColor rgb="FF000000"/>
        </patternFill>
      </fill>
    </dxf>
    <dxf>
      <fill>
        <patternFill patternType="solid">
          <fgColor rgb="FFFEE3C8"/>
          <bgColor rgb="FF000000"/>
        </patternFill>
      </fill>
    </dxf>
    <dxf>
      <fill>
        <patternFill patternType="solid">
          <fgColor rgb="FFFEEDC7"/>
          <bgColor rgb="FF000000"/>
        </patternFill>
      </fill>
    </dxf>
    <dxf>
      <fill>
        <patternFill patternType="solid">
          <fgColor rgb="FFFEF1C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A7F3D0"/>
          <bgColor rgb="FF000000"/>
        </patternFill>
      </fill>
    </dxf>
    <dxf>
      <fill>
        <patternFill patternType="solid">
          <fgColor rgb="FFC5F3CC"/>
          <bgColor rgb="FF000000"/>
        </patternFill>
      </fill>
    </dxf>
    <dxf>
      <fill>
        <patternFill patternType="solid">
          <fgColor rgb="FFDBF3CA"/>
          <bgColor rgb="FF000000"/>
        </patternFill>
      </fill>
    </dxf>
    <dxf>
      <fill>
        <patternFill patternType="solid">
          <fgColor rgb="FFE6F3C9"/>
          <bgColor rgb="FF000000"/>
        </patternFill>
      </fill>
    </dxf>
    <dxf>
      <fill>
        <patternFill patternType="solid">
          <fgColor rgb="FFF5F3C7"/>
          <bgColor rgb="FF000000"/>
        </patternFill>
      </fill>
    </dxf>
    <dxf>
      <fill>
        <patternFill patternType="solid">
          <fgColor rgb="FFFEE5DD"/>
          <bgColor rgb="FF000000"/>
        </patternFill>
      </fill>
    </dxf>
    <dxf>
      <fill>
        <patternFill patternType="solid">
          <fgColor rgb="FFFEEAD5"/>
          <bgColor rgb="FF000000"/>
        </patternFill>
      </fill>
    </dxf>
    <dxf>
      <fill>
        <patternFill patternType="solid">
          <fgColor rgb="FFFEEDD0"/>
          <bgColor rgb="FF000000"/>
        </patternFill>
      </fill>
    </dxf>
    <dxf>
      <fill>
        <patternFill patternType="solid">
          <fgColor rgb="FFFEF1CA"/>
          <bgColor rgb="FF000000"/>
        </patternFill>
      </fill>
    </dxf>
    <dxf>
      <fill>
        <patternFill>
          <bgColor rgb="FFFEE2E2"/>
        </patternFill>
      </fill>
    </dxf>
    <dxf>
      <fill>
        <patternFill patternType="solid">
          <fgColor rgb="FFFEEDE5"/>
          <bgColor rgb="FF000000"/>
        </patternFill>
      </fill>
    </dxf>
    <dxf>
      <fill>
        <patternFill patternType="solid">
          <fgColor rgb="FFFEF0E8"/>
          <bgColor rgb="FF000000"/>
        </patternFill>
      </fill>
    </dxf>
    <dxf>
      <fill>
        <patternFill patternType="solid">
          <fgColor rgb="FFFEF2E9"/>
          <bgColor rgb="FF000000"/>
        </patternFill>
      </fill>
    </dxf>
    <dxf>
      <fill>
        <patternFill patternType="solid">
          <fgColor rgb="FFFEF3EA"/>
          <bgColor rgb="FF000000"/>
        </patternFill>
      </fill>
    </dxf>
    <dxf>
      <fill>
        <patternFill patternType="solid">
          <fgColor rgb="FFFEF4EB"/>
          <bgColor rgb="FF000000"/>
        </patternFill>
      </fill>
    </dxf>
    <dxf>
      <fill>
        <patternFill patternType="solid">
          <fgColor rgb="FFFEF5EB"/>
          <bgColor rgb="FF000000"/>
        </patternFill>
      </fill>
    </dxf>
    <dxf>
      <fill>
        <patternFill patternType="solid">
          <fgColor rgb="FFFCF7EC"/>
          <bgColor rgb="FF000000"/>
        </patternFill>
      </fill>
    </dxf>
    <dxf>
      <fill>
        <patternFill patternType="solid">
          <fgColor rgb="FFFDF7ED"/>
          <bgColor rgb="FF000000"/>
        </patternFill>
      </fill>
    </dxf>
    <dxf>
      <fill>
        <patternFill patternType="solid">
          <fgColor rgb="FFFEF6EC"/>
          <bgColor rgb="FF000000"/>
        </patternFill>
      </fill>
    </dxf>
    <dxf>
      <fill>
        <patternFill patternType="solid">
          <fgColor rgb="FFFEF7ED"/>
          <bgColor rgb="FF000000"/>
        </patternFill>
      </fill>
    </dxf>
    <dxf>
      <fill>
        <patternFill patternType="solid">
          <fgColor rgb="FFFFF7ED"/>
          <bgColor rgb="FF000000"/>
        </patternFill>
      </fill>
    </dxf>
    <dxf>
      <fill>
        <patternFill patternType="solid">
          <fgColor rgb="FFF4F7EA"/>
          <bgColor rgb="FF000000"/>
        </patternFill>
      </fill>
    </dxf>
    <dxf>
      <fill>
        <patternFill patternType="solid">
          <fgColor rgb="FFF5F7EA"/>
          <bgColor rgb="FF000000"/>
        </patternFill>
      </fill>
    </dxf>
    <dxf>
      <fill>
        <patternFill patternType="solid">
          <fgColor rgb="FFF6F7EA"/>
          <bgColor rgb="FF000000"/>
        </patternFill>
      </fill>
    </dxf>
    <dxf>
      <fill>
        <patternFill patternType="solid">
          <fgColor rgb="FFF7F7EB"/>
          <bgColor rgb="FF000000"/>
        </patternFill>
      </fill>
    </dxf>
    <dxf>
      <fill>
        <patternFill patternType="solid">
          <fgColor rgb="FFF8F7EB"/>
          <bgColor rgb="FF000000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D9D9D9"/>
      <rgbColor rgb="FF878787"/>
      <rgbColor rgb="FF9999FF"/>
      <rgbColor rgb="FF993366"/>
      <rgbColor rgb="FFF8FAFC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ECFDF5"/>
      <rgbColor rgb="FFF1F5F9"/>
      <rgbColor rgb="FFE2E8F0"/>
      <rgbColor rgb="FFFF99CC"/>
      <rgbColor rgb="FFCC99FF"/>
      <rgbColor rgb="FFFEE2E2"/>
      <rgbColor rgb="FF3366FF"/>
      <rgbColor rgb="FF5EEAD4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132B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우선순위 Top 5 — 리스크조정점수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Dashboard!C7</c:f>
              <c:strCache>
                <c:ptCount val="1"/>
                <c:pt idx="0">
                  <c:v>리스크조정점수</c:v>
                </c:pt>
              </c:strCache>
            </c:strRef>
          </c:tx>
          <c:spPr>
            <a:solidFill>
              <a:srgbClr val="0F766E"/>
            </a:solidFill>
            <a:ln w="12600">
              <a:solidFill>
                <a:srgbClr val="0F766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Dashboard!$B$8:$B$12</c:f>
              <c:strCache>
                <c:ptCount val="5"/>
                <c:pt idx="0">
                  <c:v>API 모니터링·개발자 포털 SaaS</c:v>
                </c:pt>
                <c:pt idx="1">
                  <c:v>영업 파이프라인 자동화 CRM SaaS</c:v>
                </c:pt>
                <c:pt idx="2">
                  <c:v>HR 인력계획·스킬 매칭 SaaS</c:v>
                </c:pt>
                <c:pt idx="3">
                  <c:v>구독형 재무분석 FP&amp;A SaaS</c:v>
                </c:pt>
                <c:pt idx="4">
                  <c:v>계약·법무 검토 Copilot</c:v>
                </c:pt>
              </c:strCache>
            </c:strRef>
          </c:cat>
          <c:val>
            <c:numRef>
              <c:f>Dashboard!$C$8:$C$12</c:f>
              <c:numCache>
                <c:formatCode>0.0</c:formatCode>
                <c:ptCount val="5"/>
                <c:pt idx="0">
                  <c:v>58.8166666666667</c:v>
                </c:pt>
                <c:pt idx="1">
                  <c:v>54.5027027027027</c:v>
                </c:pt>
                <c:pt idx="2">
                  <c:v>51.3289156626506</c:v>
                </c:pt>
                <c:pt idx="3">
                  <c:v>49.6885245901639</c:v>
                </c:pt>
                <c:pt idx="4">
                  <c:v>47.4053191489362</c:v>
                </c:pt>
              </c:numCache>
            </c:numRef>
          </c:val>
        </c:ser>
        <c:gapWidth val="150"/>
        <c:overlap val="0"/>
        <c:axId val="75913719"/>
        <c:axId val="21604753"/>
      </c:barChart>
      <c:catAx>
        <c:axId val="7591371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점수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604753"/>
        <c:crosses val="autoZero"/>
        <c:auto val="1"/>
        <c:lblAlgn val="ctr"/>
        <c:lblOffset val="100"/>
        <c:noMultiLvlLbl val="0"/>
      </c:catAx>
      <c:valAx>
        <c:axId val="216047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투자안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913719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시나리오 스트레스 테스트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Dashboard!H7</c:f>
              <c:strCache>
                <c:ptCount val="1"/>
                <c:pt idx="0">
                  <c:v>포트폴리오 순가치(원)</c:v>
                </c:pt>
              </c:strCache>
            </c:strRef>
          </c:tx>
          <c:spPr>
            <a:solidFill>
              <a:srgbClr val="5EEAD4"/>
            </a:solidFill>
            <a:ln w="12600">
              <a:solidFill>
                <a:srgbClr val="0F766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Dashboard!$G$8:$G$10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Dashboard!$H$8:$H$10</c:f>
              <c:numCache>
                <c:formatCode>\₩#,##0;[RED]"-₩"#,##0</c:formatCode>
                <c:ptCount val="3"/>
                <c:pt idx="0">
                  <c:v>-618120000</c:v>
                </c:pt>
                <c:pt idx="1">
                  <c:v>23850000</c:v>
                </c:pt>
                <c:pt idx="2">
                  <c:v>608220000</c:v>
                </c:pt>
              </c:numCache>
            </c:numRef>
          </c:val>
        </c:ser>
        <c:gapWidth val="150"/>
        <c:overlap val="0"/>
        <c:axId val="54260845"/>
        <c:axId val="73157891"/>
      </c:barChart>
      <c:catAx>
        <c:axId val="542608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157891"/>
        <c:crosses val="autoZero"/>
        <c:auto val="1"/>
        <c:lblAlgn val="ctr"/>
        <c:lblOffset val="100"/>
        <c:noMultiLvlLbl val="0"/>
      </c:catAx>
      <c:valAx>
        <c:axId val="73157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순가치(원)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₩#,##0;[RED]&quot;-₩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260845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3</xdr:col>
      <xdr:colOff>1155240</xdr:colOff>
      <xdr:row>27</xdr:row>
      <xdr:rowOff>43200</xdr:rowOff>
    </xdr:to>
    <xdr:graphicFrame>
      <xdr:nvGraphicFramePr>
        <xdr:cNvPr id="1" name="Chart 1"/>
        <xdr:cNvGraphicFramePr/>
      </xdr:nvGraphicFramePr>
      <xdr:xfrm>
        <a:off x="0" y="40006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14</xdr:row>
      <xdr:rowOff>0</xdr:rowOff>
    </xdr:from>
    <xdr:to>
      <xdr:col>12</xdr:col>
      <xdr:colOff>239040</xdr:colOff>
      <xdr:row>27</xdr:row>
      <xdr:rowOff>43200</xdr:rowOff>
    </xdr:to>
    <xdr:graphicFrame>
      <xdr:nvGraphicFramePr>
        <xdr:cNvPr id="2" name="Chart 2"/>
        <xdr:cNvGraphicFramePr/>
      </xdr:nvGraphicFramePr>
      <xdr:xfrm>
        <a:off x="6414120" y="40006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8.5"/>
    <col collapsed="false" customWidth="true" hidden="false" outlineLevel="0" max="3" min="3" style="0" width="13.06"/>
    <col collapsed="false" customWidth="true" hidden="false" outlineLevel="0" max="4" min="4" style="0" width="18.5"/>
    <col collapsed="false" customWidth="true" hidden="false" outlineLevel="0" max="5" min="5" style="0" width="17.41"/>
    <col collapsed="false" customWidth="true" hidden="false" outlineLevel="0" max="7" min="6" style="0" width="11.97"/>
    <col collapsed="false" customWidth="true" hidden="false" outlineLevel="0" max="8" min="8" style="0" width="18.5"/>
    <col collapsed="false" customWidth="true" hidden="false" outlineLevel="0" max="9" min="9" style="0" width="19.59"/>
    <col collapsed="false" customWidth="true" hidden="false" outlineLevel="0" max="10" min="10" style="0" width="11.97"/>
    <col collapsed="false" customWidth="true" hidden="false" outlineLevel="0" max="11" min="11" style="0" width="17.41"/>
    <col collapsed="false" customWidth="true" hidden="false" outlineLevel="0" max="12" min="12" style="0" width="11.97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</row>
    <row r="4" customFormat="false" ht="15" hidden="false" customHeight="false" outlineLevel="0" collapsed="false">
      <c r="A4" s="4" t="s">
        <v>7</v>
      </c>
      <c r="B4" s="5" t="n">
        <v>0.35</v>
      </c>
      <c r="C4" s="5" t="n">
        <v>0.4</v>
      </c>
      <c r="D4" s="5" t="n">
        <v>0.25</v>
      </c>
      <c r="E4" s="5" t="n">
        <f aca="false">SUM(B4:D4)</f>
        <v>1</v>
      </c>
      <c r="F4" s="4" t="str">
        <f aca="false">IF(E4=1,"검증 완료","오류")</f>
        <v>검증 완료</v>
      </c>
    </row>
    <row r="7" customFormat="false" ht="33.75" hidden="false" customHeight="true" outlineLevel="0" collapsed="false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3" t="s">
        <v>16</v>
      </c>
      <c r="J7" s="3" t="s">
        <v>17</v>
      </c>
      <c r="K7" s="2" t="s">
        <v>18</v>
      </c>
      <c r="L7" s="2" t="s">
        <v>19</v>
      </c>
    </row>
    <row r="8" customFormat="false" ht="27.75" hidden="false" customHeight="true" outlineLevel="0" collapsed="false">
      <c r="A8" s="6" t="s">
        <v>20</v>
      </c>
      <c r="B8" s="7" t="n">
        <v>180000000</v>
      </c>
      <c r="C8" s="8" t="n">
        <v>0.72</v>
      </c>
      <c r="D8" s="7" t="n">
        <v>45000000</v>
      </c>
      <c r="E8" s="7" t="n">
        <v>5500000</v>
      </c>
      <c r="F8" s="9" t="n">
        <v>88</v>
      </c>
      <c r="G8" s="9" t="n">
        <v>32</v>
      </c>
      <c r="H8" s="7" t="n">
        <f aca="false">B8*C8</f>
        <v>129600000</v>
      </c>
      <c r="I8" s="7" t="n">
        <f aca="false">H8-(D8+12*E8)</f>
        <v>18600000</v>
      </c>
      <c r="J8" s="8" t="n">
        <f aca="false">I8/(D8+12*E8)</f>
        <v>0.167567567567568</v>
      </c>
      <c r="K8" s="9" t="n">
        <f aca="false">$B$4*F8+$C$4*(J8*100)+$D$4*(100-G8)</f>
        <v>54.5027027027027</v>
      </c>
      <c r="L8" s="10" t="n">
        <f aca="false">RANK(K8,$K$8:$K$17,0)</f>
        <v>2</v>
      </c>
    </row>
    <row r="9" customFormat="false" ht="27.75" hidden="false" customHeight="true" outlineLevel="0" collapsed="false">
      <c r="A9" s="11" t="s">
        <v>21</v>
      </c>
      <c r="B9" s="12" t="n">
        <v>160000000</v>
      </c>
      <c r="C9" s="13" t="n">
        <v>0.65</v>
      </c>
      <c r="D9" s="12" t="n">
        <v>40000000</v>
      </c>
      <c r="E9" s="12" t="n">
        <v>4500000</v>
      </c>
      <c r="F9" s="14" t="n">
        <v>84</v>
      </c>
      <c r="G9" s="14" t="n">
        <v>45</v>
      </c>
      <c r="H9" s="12" t="n">
        <f aca="false">B9*C9</f>
        <v>104000000</v>
      </c>
      <c r="I9" s="12" t="n">
        <f aca="false">H9-(D9+12*E9)</f>
        <v>10000000</v>
      </c>
      <c r="J9" s="13" t="n">
        <f aca="false">I9/(D9+12*E9)</f>
        <v>0.106382978723404</v>
      </c>
      <c r="K9" s="14" t="n">
        <f aca="false">$B$4*F9+$C$4*(J9*100)+$D$4*(100-G9)</f>
        <v>47.4053191489362</v>
      </c>
      <c r="L9" s="15" t="n">
        <f aca="false">RANK(K9,$K$8:$K$17,0)</f>
        <v>5</v>
      </c>
    </row>
    <row r="10" customFormat="false" ht="27.75" hidden="false" customHeight="true" outlineLevel="0" collapsed="false">
      <c r="A10" s="16" t="s">
        <v>22</v>
      </c>
      <c r="B10" s="7" t="n">
        <v>240000000</v>
      </c>
      <c r="C10" s="8" t="n">
        <v>0.58</v>
      </c>
      <c r="D10" s="7" t="n">
        <v>60000000</v>
      </c>
      <c r="E10" s="7" t="n">
        <v>7000000</v>
      </c>
      <c r="F10" s="9" t="n">
        <v>82</v>
      </c>
      <c r="G10" s="9" t="n">
        <v>55</v>
      </c>
      <c r="H10" s="7" t="n">
        <f aca="false">B10*C10</f>
        <v>139200000</v>
      </c>
      <c r="I10" s="7" t="n">
        <f aca="false">H10-(D10+12*E10)</f>
        <v>-4800000</v>
      </c>
      <c r="J10" s="8" t="n">
        <f aca="false">I10/(D10+12*E10)</f>
        <v>-0.0333333333333333</v>
      </c>
      <c r="K10" s="9" t="n">
        <f aca="false">$B$4*F10+$C$4*(J10*100)+$D$4*(100-G10)</f>
        <v>38.6166666666667</v>
      </c>
      <c r="L10" s="10" t="n">
        <f aca="false">RANK(K10,$K$8:$K$17,0)</f>
        <v>8</v>
      </c>
    </row>
    <row r="11" customFormat="false" ht="27.75" hidden="false" customHeight="true" outlineLevel="0" collapsed="false">
      <c r="A11" s="11" t="s">
        <v>23</v>
      </c>
      <c r="B11" s="12" t="n">
        <v>210000000</v>
      </c>
      <c r="C11" s="13" t="n">
        <v>0.62</v>
      </c>
      <c r="D11" s="12" t="n">
        <v>50000000</v>
      </c>
      <c r="E11" s="12" t="n">
        <v>6000000</v>
      </c>
      <c r="F11" s="14" t="n">
        <v>90</v>
      </c>
      <c r="G11" s="14" t="n">
        <v>38</v>
      </c>
      <c r="H11" s="12" t="n">
        <f aca="false">B11*C11</f>
        <v>130200000</v>
      </c>
      <c r="I11" s="12" t="n">
        <f aca="false">H11-(D11+12*E11)</f>
        <v>8200000</v>
      </c>
      <c r="J11" s="13" t="n">
        <f aca="false">I11/(D11+12*E11)</f>
        <v>0.0672131147540984</v>
      </c>
      <c r="K11" s="14" t="n">
        <f aca="false">$B$4*F11+$C$4*(J11*100)+$D$4*(100-G11)</f>
        <v>49.6885245901639</v>
      </c>
      <c r="L11" s="15" t="n">
        <f aca="false">RANK(K11,$K$8:$K$17,0)</f>
        <v>4</v>
      </c>
    </row>
    <row r="12" customFormat="false" ht="27.75" hidden="false" customHeight="true" outlineLevel="0" collapsed="false">
      <c r="A12" s="6" t="s">
        <v>24</v>
      </c>
      <c r="B12" s="7" t="n">
        <v>300000000</v>
      </c>
      <c r="C12" s="8" t="n">
        <v>0.48</v>
      </c>
      <c r="D12" s="7" t="n">
        <v>75000000</v>
      </c>
      <c r="E12" s="7" t="n">
        <v>8500000</v>
      </c>
      <c r="F12" s="9" t="n">
        <v>86</v>
      </c>
      <c r="G12" s="9" t="n">
        <v>68</v>
      </c>
      <c r="H12" s="7" t="n">
        <f aca="false">B12*C12</f>
        <v>144000000</v>
      </c>
      <c r="I12" s="7" t="n">
        <f aca="false">H12-(D12+12*E12)</f>
        <v>-33000000</v>
      </c>
      <c r="J12" s="8" t="n">
        <f aca="false">I12/(D12+12*E12)</f>
        <v>-0.186440677966102</v>
      </c>
      <c r="K12" s="9" t="n">
        <f aca="false">$B$4*F12+$C$4*(J12*100)+$D$4*(100-G12)</f>
        <v>30.6423728813559</v>
      </c>
      <c r="L12" s="10" t="n">
        <f aca="false">RANK(K12,$K$8:$K$17,0)</f>
        <v>10</v>
      </c>
    </row>
    <row r="13" customFormat="false" ht="27.75" hidden="false" customHeight="true" outlineLevel="0" collapsed="false">
      <c r="A13" s="17" t="s">
        <v>25</v>
      </c>
      <c r="B13" s="12" t="n">
        <v>140000000</v>
      </c>
      <c r="C13" s="13" t="n">
        <v>0.7</v>
      </c>
      <c r="D13" s="12" t="n">
        <v>35000000</v>
      </c>
      <c r="E13" s="12" t="n">
        <v>4000000</v>
      </c>
      <c r="F13" s="14" t="n">
        <v>76</v>
      </c>
      <c r="G13" s="14" t="n">
        <v>30</v>
      </c>
      <c r="H13" s="12" t="n">
        <f aca="false">B13*C13</f>
        <v>98000000</v>
      </c>
      <c r="I13" s="12" t="n">
        <f aca="false">H13-(D13+12*E13)</f>
        <v>15000000</v>
      </c>
      <c r="J13" s="13" t="n">
        <f aca="false">I13/(D13+12*E13)</f>
        <v>0.180722891566265</v>
      </c>
      <c r="K13" s="14" t="n">
        <f aca="false">$B$4*F13+$C$4*(J13*100)+$D$4*(100-G13)</f>
        <v>51.3289156626506</v>
      </c>
      <c r="L13" s="15" t="n">
        <f aca="false">RANK(K13,$K$8:$K$17,0)</f>
        <v>3</v>
      </c>
    </row>
    <row r="14" customFormat="false" ht="27.75" hidden="false" customHeight="true" outlineLevel="0" collapsed="false">
      <c r="A14" s="6" t="s">
        <v>26</v>
      </c>
      <c r="B14" s="7" t="n">
        <v>190000000</v>
      </c>
      <c r="C14" s="8" t="n">
        <v>0.6</v>
      </c>
      <c r="D14" s="7" t="n">
        <v>48000000</v>
      </c>
      <c r="E14" s="7" t="n">
        <v>5500000</v>
      </c>
      <c r="F14" s="9" t="n">
        <v>92</v>
      </c>
      <c r="G14" s="9" t="n">
        <v>50</v>
      </c>
      <c r="H14" s="7" t="n">
        <f aca="false">B14*C14</f>
        <v>114000000</v>
      </c>
      <c r="I14" s="7" t="n">
        <f aca="false">H14-(D14+12*E14)</f>
        <v>0</v>
      </c>
      <c r="J14" s="8" t="n">
        <f aca="false">I14/(D14+12*E14)</f>
        <v>0</v>
      </c>
      <c r="K14" s="9" t="n">
        <f aca="false">$B$4*F14+$C$4*(J14*100)+$D$4*(100-G14)</f>
        <v>44.7</v>
      </c>
      <c r="L14" s="10" t="n">
        <f aca="false">RANK(K14,$K$8:$K$17,0)</f>
        <v>6</v>
      </c>
    </row>
    <row r="15" customFormat="false" ht="27.75" hidden="false" customHeight="true" outlineLevel="0" collapsed="false">
      <c r="A15" s="17" t="s">
        <v>27</v>
      </c>
      <c r="B15" s="12" t="n">
        <v>125000000</v>
      </c>
      <c r="C15" s="13" t="n">
        <v>0.78</v>
      </c>
      <c r="D15" s="12" t="n">
        <v>30000000</v>
      </c>
      <c r="E15" s="12" t="n">
        <v>3500000</v>
      </c>
      <c r="F15" s="14" t="n">
        <v>74</v>
      </c>
      <c r="G15" s="14" t="n">
        <v>25</v>
      </c>
      <c r="H15" s="12" t="n">
        <f aca="false">B15*C15</f>
        <v>97500000</v>
      </c>
      <c r="I15" s="12" t="n">
        <f aca="false">H15-(D15+12*E15)</f>
        <v>25500000</v>
      </c>
      <c r="J15" s="13" t="n">
        <f aca="false">I15/(D15+12*E15)</f>
        <v>0.354166666666667</v>
      </c>
      <c r="K15" s="14" t="n">
        <f aca="false">$B$4*F15+$C$4*(J15*100)+$D$4*(100-G15)</f>
        <v>58.8166666666667</v>
      </c>
      <c r="L15" s="15" t="n">
        <f aca="false">RANK(K15,$K$8:$K$17,0)</f>
        <v>1</v>
      </c>
    </row>
    <row r="16" customFormat="false" ht="27.75" hidden="false" customHeight="true" outlineLevel="0" collapsed="false">
      <c r="A16" s="16" t="s">
        <v>28</v>
      </c>
      <c r="B16" s="7" t="n">
        <v>230000000</v>
      </c>
      <c r="C16" s="8" t="n">
        <v>0.52</v>
      </c>
      <c r="D16" s="7" t="n">
        <v>55000000</v>
      </c>
      <c r="E16" s="7" t="n">
        <v>6500000</v>
      </c>
      <c r="F16" s="9" t="n">
        <v>80</v>
      </c>
      <c r="G16" s="9" t="n">
        <v>60</v>
      </c>
      <c r="H16" s="7" t="n">
        <f aca="false">B16*C16</f>
        <v>119600000</v>
      </c>
      <c r="I16" s="7" t="n">
        <f aca="false">H16-(D16+12*E16)</f>
        <v>-13400000</v>
      </c>
      <c r="J16" s="8" t="n">
        <f aca="false">I16/(D16+12*E16)</f>
        <v>-0.100751879699248</v>
      </c>
      <c r="K16" s="9" t="n">
        <f aca="false">$B$4*F16+$C$4*(J16*100)+$D$4*(100-G16)</f>
        <v>33.9699248120301</v>
      </c>
      <c r="L16" s="10" t="n">
        <f aca="false">RANK(K16,$K$8:$K$17,0)</f>
        <v>9</v>
      </c>
    </row>
    <row r="17" customFormat="false" ht="27.75" hidden="false" customHeight="true" outlineLevel="0" collapsed="false">
      <c r="A17" s="11" t="s">
        <v>29</v>
      </c>
      <c r="B17" s="12" t="n">
        <v>175000000</v>
      </c>
      <c r="C17" s="13" t="n">
        <v>0.57</v>
      </c>
      <c r="D17" s="12" t="n">
        <v>42000000</v>
      </c>
      <c r="E17" s="12" t="n">
        <v>5000000</v>
      </c>
      <c r="F17" s="14" t="n">
        <v>83</v>
      </c>
      <c r="G17" s="14" t="n">
        <v>48</v>
      </c>
      <c r="H17" s="12" t="n">
        <f aca="false">B17*C17</f>
        <v>99750000</v>
      </c>
      <c r="I17" s="12" t="n">
        <f aca="false">H17-(D17+12*E17)</f>
        <v>-2250000.00000002</v>
      </c>
      <c r="J17" s="13" t="n">
        <f aca="false">I17/(D17+12*E17)</f>
        <v>-0.0220588235294119</v>
      </c>
      <c r="K17" s="14" t="n">
        <f aca="false">$B$4*F17+$C$4*(J17*100)+$D$4*(100-G17)</f>
        <v>41.1676470588235</v>
      </c>
      <c r="L17" s="15" t="n">
        <f aca="false">RANK(K17,$K$8:$K$17,0)</f>
        <v>7</v>
      </c>
    </row>
    <row r="18" customFormat="false" ht="15" hidden="false" customHeight="false" outlineLevel="0" collapsed="false">
      <c r="A18" s="18" t="s">
        <v>30</v>
      </c>
      <c r="B18" s="19" t="n">
        <f aca="false">SUM(B8:B17)</f>
        <v>1950000000</v>
      </c>
      <c r="C18" s="20" t="n">
        <f aca="false">SUMPRODUCT(B8:B17,C8:C17)/SUM(B8:B17)</f>
        <v>0.603</v>
      </c>
      <c r="D18" s="19" t="n">
        <f aca="false">SUM(D8:D17)</f>
        <v>480000000</v>
      </c>
      <c r="E18" s="19" t="n">
        <f aca="false">SUM(E8:E17)</f>
        <v>56000000</v>
      </c>
      <c r="F18" s="21"/>
      <c r="G18" s="21"/>
      <c r="H18" s="19" t="n">
        <f aca="false">SUM(H8:H17)</f>
        <v>1175850000</v>
      </c>
      <c r="I18" s="19" t="n">
        <f aca="false">SUM(I8:I17)</f>
        <v>23850000</v>
      </c>
      <c r="J18" s="20" t="n">
        <f aca="false">I18/(D18+12*E18)</f>
        <v>0.020703125</v>
      </c>
      <c r="K18" s="21"/>
      <c r="L18" s="22"/>
    </row>
  </sheetData>
  <autoFilter ref="A7:L17"/>
  <mergeCells count="1">
    <mergeCell ref="A1:L1"/>
  </mergeCells>
  <conditionalFormatting sqref="G8:G17">
    <cfRule type="colorScale" priority="2">
      <colorScale>
        <cfvo type="min" val="0"/>
        <cfvo type="percentile" val="50"/>
        <cfvo type="max" val="0"/>
        <color rgb="FFDCFCE7"/>
        <color rgb="FFFEF3C7"/>
        <color rgb="FFFECACA"/>
      </colorScale>
    </cfRule>
  </conditionalFormatting>
  <conditionalFormatting sqref="I8:I17">
    <cfRule type="cellIs" priority="3" operator="lessThan" aboveAverage="0" equalAverage="0" bottom="0" percent="0" rank="0" text="" dxfId="24">
      <formula>0</formula>
    </cfRule>
  </conditionalFormatting>
  <conditionalFormatting sqref="K8:K17">
    <cfRule type="colorScale" priority="4">
      <colorScale>
        <cfvo type="min" val="0"/>
        <cfvo type="percentile" val="50"/>
        <cfvo type="max" val="0"/>
        <color rgb="FFFEE2E2"/>
        <color rgb="FFFEF3C7"/>
        <color rgb="FFA7F3D0"/>
      </colorScale>
    </cfRule>
  </conditionalFormatting>
  <printOptions headings="false" gridLines="false" gridLinesSet="true" horizontalCentered="false" verticalCentered="false"/>
  <pageMargins left="0.2" right="0.2" top="0.35" bottom="0.3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41.35"/>
    <col collapsed="false" customWidth="true" hidden="false" outlineLevel="0" max="4" min="2" style="0" width="27.21"/>
  </cols>
  <sheetData>
    <row r="1" customFormat="false" ht="33.75" hidden="false" customHeight="true" outlineLevel="0" collapsed="false">
      <c r="A1" s="1" t="s">
        <v>31</v>
      </c>
      <c r="B1" s="1"/>
      <c r="C1" s="1"/>
      <c r="D1" s="1"/>
    </row>
    <row r="3" customFormat="false" ht="15" hidden="false" customHeight="false" outlineLevel="0" collapsed="false">
      <c r="A3" s="2" t="s">
        <v>32</v>
      </c>
      <c r="B3" s="3" t="s">
        <v>33</v>
      </c>
      <c r="C3" s="2" t="s">
        <v>34</v>
      </c>
      <c r="D3" s="2" t="s">
        <v>35</v>
      </c>
    </row>
    <row r="4" customFormat="false" ht="15" hidden="false" customHeight="false" outlineLevel="0" collapsed="false">
      <c r="A4" s="23" t="s">
        <v>36</v>
      </c>
      <c r="B4" s="24" t="n">
        <v>0.8</v>
      </c>
      <c r="C4" s="25" t="n">
        <v>-0.15</v>
      </c>
      <c r="D4" s="24" t="n">
        <v>1.15</v>
      </c>
    </row>
    <row r="5" customFormat="false" ht="15" hidden="false" customHeight="false" outlineLevel="0" collapsed="false">
      <c r="A5" s="23" t="s">
        <v>37</v>
      </c>
      <c r="B5" s="24" t="n">
        <v>1</v>
      </c>
      <c r="C5" s="25" t="n">
        <v>0</v>
      </c>
      <c r="D5" s="24" t="n">
        <v>1</v>
      </c>
    </row>
    <row r="6" customFormat="false" ht="15" hidden="false" customHeight="false" outlineLevel="0" collapsed="false">
      <c r="A6" s="23" t="s">
        <v>38</v>
      </c>
      <c r="B6" s="24" t="n">
        <v>1.2</v>
      </c>
      <c r="C6" s="25" t="n">
        <v>0.1</v>
      </c>
      <c r="D6" s="24" t="n">
        <v>0.9</v>
      </c>
    </row>
    <row r="9" customFormat="false" ht="33.75" hidden="false" customHeight="true" outlineLevel="0" collapsed="false">
      <c r="A9" s="2" t="s">
        <v>8</v>
      </c>
      <c r="B9" s="3" t="s">
        <v>39</v>
      </c>
      <c r="C9" s="3" t="s">
        <v>40</v>
      </c>
      <c r="D9" s="3" t="s">
        <v>41</v>
      </c>
    </row>
    <row r="10" customFormat="false" ht="27" hidden="false" customHeight="true" outlineLevel="0" collapsed="false">
      <c r="A10" s="26" t="str">
        <f aca="false">Portfolio!$A8</f>
        <v>영업 파이프라인 자동화 CRM SaaS</v>
      </c>
      <c r="B10" s="27" t="n">
        <f aca="false">Portfolio!$B8*$B$4*(Portfolio!$C8+$C$4)-(Portfolio!$D8+12*Portfolio!$E8)*$D$4</f>
        <v>-45570000</v>
      </c>
      <c r="C10" s="27" t="n">
        <f aca="false">Portfolio!$B8*$B$5*(Portfolio!$C8+$C$5)-(Portfolio!$D8+12*Portfolio!$E8)*$D$5</f>
        <v>18600000</v>
      </c>
      <c r="D10" s="27" t="n">
        <f aca="false">Portfolio!$B8*$B$6*(Portfolio!$C8+$C$6)-(Portfolio!$D8+12*Portfolio!$E8)*$D$6</f>
        <v>77220000</v>
      </c>
    </row>
    <row r="11" customFormat="false" ht="27" hidden="false" customHeight="true" outlineLevel="0" collapsed="false">
      <c r="A11" s="28" t="str">
        <f aca="false">Portfolio!$A9</f>
        <v>계약·법무 검토 Copilot</v>
      </c>
      <c r="B11" s="29" t="n">
        <f aca="false">Portfolio!$B9*$B$4*(Portfolio!$C9+$C$4)-(Portfolio!$D9+12*Portfolio!$E9)*$D$4</f>
        <v>-44100000</v>
      </c>
      <c r="C11" s="29" t="n">
        <f aca="false">Portfolio!$B9*$B$5*(Portfolio!$C9+$C$5)-(Portfolio!$D9+12*Portfolio!$E9)*$D$5</f>
        <v>10000000</v>
      </c>
      <c r="D11" s="29" t="n">
        <f aca="false">Portfolio!$B9*$B$6*(Portfolio!$C9+$C$6)-(Portfolio!$D9+12*Portfolio!$E9)*$D$6</f>
        <v>59400000</v>
      </c>
    </row>
    <row r="12" customFormat="false" ht="27" hidden="false" customHeight="true" outlineLevel="0" collapsed="false">
      <c r="A12" s="26" t="str">
        <f aca="false">Portfolio!$A10</f>
        <v>B2B 고객지원 AI 챗봇</v>
      </c>
      <c r="B12" s="27" t="n">
        <f aca="false">Portfolio!$B10*$B$4*(Portfolio!$C10+$C$4)-(Portfolio!$D10+12*Portfolio!$E10)*$D$4</f>
        <v>-83040000</v>
      </c>
      <c r="C12" s="27" t="n">
        <f aca="false">Portfolio!$B10*$B$5*(Portfolio!$C10+$C$5)-(Portfolio!$D10+12*Portfolio!$E10)*$D$5</f>
        <v>-4800000</v>
      </c>
      <c r="D12" s="27" t="n">
        <f aca="false">Portfolio!$B10*$B$6*(Portfolio!$C10+$C$6)-(Portfolio!$D10+12*Portfolio!$E10)*$D$6</f>
        <v>66240000</v>
      </c>
    </row>
    <row r="13" customFormat="false" ht="27" hidden="false" customHeight="true" outlineLevel="0" collapsed="false">
      <c r="A13" s="28" t="str">
        <f aca="false">Portfolio!$A11</f>
        <v>구독형 재무분석 FP&amp;A SaaS</v>
      </c>
      <c r="B13" s="29" t="n">
        <f aca="false">Portfolio!$B11*$B$4*(Portfolio!$C11+$C$4)-(Portfolio!$D11+12*Portfolio!$E11)*$D$4</f>
        <v>-61340000</v>
      </c>
      <c r="C13" s="29" t="n">
        <f aca="false">Portfolio!$B11*$B$5*(Portfolio!$C11+$C$5)-(Portfolio!$D11+12*Portfolio!$E11)*$D$5</f>
        <v>8200000</v>
      </c>
      <c r="D13" s="29" t="n">
        <f aca="false">Portfolio!$B11*$B$6*(Portfolio!$C11+$C$6)-(Portfolio!$D11+12*Portfolio!$E11)*$D$6</f>
        <v>71640000</v>
      </c>
    </row>
    <row r="14" customFormat="false" ht="27" hidden="false" customHeight="true" outlineLevel="0" collapsed="false">
      <c r="A14" s="26" t="str">
        <f aca="false">Portfolio!$A12</f>
        <v>공급망 수요예측 SaaS</v>
      </c>
      <c r="B14" s="27" t="n">
        <f aca="false">Portfolio!$B12*$B$4*(Portfolio!$C12+$C$4)-(Portfolio!$D12+12*Portfolio!$E12)*$D$4</f>
        <v>-124350000</v>
      </c>
      <c r="C14" s="27" t="n">
        <f aca="false">Portfolio!$B12*$B$5*(Portfolio!$C12+$C$5)-(Portfolio!$D12+12*Portfolio!$E12)*$D$5</f>
        <v>-33000000</v>
      </c>
      <c r="D14" s="27" t="n">
        <f aca="false">Portfolio!$B12*$B$6*(Portfolio!$C12+$C$6)-(Portfolio!$D12+12*Portfolio!$E12)*$D$6</f>
        <v>49500000</v>
      </c>
    </row>
    <row r="15" customFormat="false" ht="27" hidden="false" customHeight="true" outlineLevel="0" collapsed="false">
      <c r="A15" s="28" t="str">
        <f aca="false">Portfolio!$A13</f>
        <v>HR 인력계획·스킬 매칭 SaaS</v>
      </c>
      <c r="B15" s="29" t="n">
        <f aca="false">Portfolio!$B13*$B$4*(Portfolio!$C13+$C$4)-(Portfolio!$D13+12*Portfolio!$E13)*$D$4</f>
        <v>-33850000</v>
      </c>
      <c r="C15" s="29" t="n">
        <f aca="false">Portfolio!$B13*$B$5*(Portfolio!$C13+$C$5)-(Portfolio!$D13+12*Portfolio!$E13)*$D$5</f>
        <v>15000000</v>
      </c>
      <c r="D15" s="29" t="n">
        <f aca="false">Portfolio!$B13*$B$6*(Portfolio!$C13+$C$6)-(Portfolio!$D13+12*Portfolio!$E13)*$D$6</f>
        <v>59700000</v>
      </c>
    </row>
    <row r="16" customFormat="false" ht="27" hidden="false" customHeight="true" outlineLevel="0" collapsed="false">
      <c r="A16" s="26" t="str">
        <f aca="false">Portfolio!$A14</f>
        <v>보안 컴플라이언스 관리 SaaS</v>
      </c>
      <c r="B16" s="27" t="n">
        <f aca="false">Portfolio!$B14*$B$4*(Portfolio!$C14+$C$4)-(Portfolio!$D14+12*Portfolio!$E14)*$D$4</f>
        <v>-62700000</v>
      </c>
      <c r="C16" s="27" t="n">
        <f aca="false">Portfolio!$B14*$B$5*(Portfolio!$C14+$C$5)-(Portfolio!$D14+12*Portfolio!$E14)*$D$5</f>
        <v>0</v>
      </c>
      <c r="D16" s="27" t="n">
        <f aca="false">Portfolio!$B14*$B$6*(Portfolio!$C14+$C$6)-(Portfolio!$D14+12*Portfolio!$E14)*$D$6</f>
        <v>57000000</v>
      </c>
    </row>
    <row r="17" customFormat="false" ht="27" hidden="false" customHeight="true" outlineLevel="0" collapsed="false">
      <c r="A17" s="28" t="str">
        <f aca="false">Portfolio!$A15</f>
        <v>API 모니터링·개발자 포털 SaaS</v>
      </c>
      <c r="B17" s="29" t="n">
        <f aca="false">Portfolio!$B15*$B$4*(Portfolio!$C15+$C$4)-(Portfolio!$D15+12*Portfolio!$E15)*$D$4</f>
        <v>-19800000</v>
      </c>
      <c r="C17" s="29" t="n">
        <f aca="false">Portfolio!$B15*$B$5*(Portfolio!$C15+$C$5)-(Portfolio!$D15+12*Portfolio!$E15)*$D$5</f>
        <v>25500000</v>
      </c>
      <c r="D17" s="29" t="n">
        <f aca="false">Portfolio!$B15*$B$6*(Portfolio!$C15+$C$6)-(Portfolio!$D15+12*Portfolio!$E15)*$D$6</f>
        <v>67200000</v>
      </c>
    </row>
    <row r="18" customFormat="false" ht="27" hidden="false" customHeight="true" outlineLevel="0" collapsed="false">
      <c r="A18" s="26" t="str">
        <f aca="false">Portfolio!$A16</f>
        <v>B2B 마케팅 어트리뷰션 SaaS</v>
      </c>
      <c r="B18" s="27" t="n">
        <f aca="false">Portfolio!$B16*$B$4*(Portfolio!$C16+$C$4)-(Portfolio!$D16+12*Portfolio!$E16)*$D$4</f>
        <v>-84870000</v>
      </c>
      <c r="C18" s="27" t="n">
        <f aca="false">Portfolio!$B16*$B$5*(Portfolio!$C16+$C$5)-(Portfolio!$D16+12*Portfolio!$E16)*$D$5</f>
        <v>-13400000</v>
      </c>
      <c r="D18" s="27" t="n">
        <f aca="false">Portfolio!$B16*$B$6*(Portfolio!$C16+$C$6)-(Portfolio!$D16+12*Portfolio!$E16)*$D$6</f>
        <v>51420000</v>
      </c>
    </row>
    <row r="19" customFormat="false" ht="27" hidden="false" customHeight="true" outlineLevel="0" collapsed="false">
      <c r="A19" s="28" t="str">
        <f aca="false">Portfolio!$A17</f>
        <v>전자조달·벤더 리스크 SaaS</v>
      </c>
      <c r="B19" s="29" t="n">
        <f aca="false">Portfolio!$B17*$B$4*(Portfolio!$C17+$C$4)-(Portfolio!$D17+12*Portfolio!$E17)*$D$4</f>
        <v>-58500000</v>
      </c>
      <c r="C19" s="29" t="n">
        <f aca="false">Portfolio!$B17*$B$5*(Portfolio!$C17+$C$5)-(Portfolio!$D17+12*Portfolio!$E17)*$D$5</f>
        <v>-2250000.00000002</v>
      </c>
      <c r="D19" s="29" t="n">
        <f aca="false">Portfolio!$B17*$B$6*(Portfolio!$C17+$C$6)-(Portfolio!$D17+12*Portfolio!$E17)*$D$6</f>
        <v>48900000</v>
      </c>
    </row>
    <row r="20" customFormat="false" ht="15" hidden="false" customHeight="false" outlineLevel="0" collapsed="false">
      <c r="A20" s="18" t="s">
        <v>42</v>
      </c>
      <c r="B20" s="19" t="n">
        <f aca="false">SUM(B10:B19)</f>
        <v>-618120000</v>
      </c>
      <c r="C20" s="19" t="n">
        <f aca="false">SUM(C10:C19)</f>
        <v>23850000</v>
      </c>
      <c r="D20" s="19" t="n">
        <f aca="false">SUM(D10:D19)</f>
        <v>608220000</v>
      </c>
    </row>
  </sheetData>
  <autoFilter ref="A9:D19"/>
  <mergeCells count="1">
    <mergeCell ref="A1:D1"/>
  </mergeCells>
  <conditionalFormatting sqref="B10:D20">
    <cfRule type="colorScale" priority="2">
      <colorScale>
        <cfvo type="min" val="0"/>
        <cfvo type="num" val="0"/>
        <cfvo type="max" val="0"/>
        <color rgb="FFFECACA"/>
        <color rgb="FFFFF7ED"/>
        <color rgb="FFA7F3D0"/>
      </colorScale>
    </cfRule>
  </conditionalFormatting>
  <printOptions headings="false" gridLines="false" gridLinesSet="true" horizontalCentered="false" verticalCentered="false"/>
  <pageMargins left="0.2" right="0.2" top="0.35" bottom="0.3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9.79"/>
    <col collapsed="false" customWidth="true" hidden="false" outlineLevel="0" max="2" min="2" style="0" width="29.38"/>
    <col collapsed="false" customWidth="true" hidden="false" outlineLevel="0" max="3" min="3" style="0" width="15.23"/>
    <col collapsed="false" customWidth="true" hidden="false" outlineLevel="0" max="4" min="4" style="0" width="18.5"/>
    <col collapsed="false" customWidth="true" hidden="false" outlineLevel="0" max="6" min="5" style="0" width="13.06"/>
    <col collapsed="false" customWidth="true" hidden="false" outlineLevel="0" max="7" min="7" style="0" width="15.23"/>
    <col collapsed="false" customWidth="true" hidden="false" outlineLevel="0" max="8" min="8" style="0" width="19.59"/>
    <col collapsed="false" customWidth="true" hidden="false" outlineLevel="0" max="9" min="9" style="0" width="16.32"/>
    <col collapsed="false" customWidth="true" hidden="false" outlineLevel="0" max="10" min="10" style="0" width="13.06"/>
    <col collapsed="false" customWidth="true" hidden="false" outlineLevel="0" max="12" min="11" style="0" width="2.18"/>
  </cols>
  <sheetData>
    <row r="1" customFormat="false" ht="33.75" hidden="false" customHeight="tru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2.5" hidden="false" customHeight="true" outlineLevel="0" collapsed="false">
      <c r="A3" s="30" t="s">
        <v>44</v>
      </c>
      <c r="B3" s="30"/>
      <c r="C3" s="30" t="s">
        <v>45</v>
      </c>
      <c r="D3" s="30"/>
      <c r="E3" s="31" t="s">
        <v>46</v>
      </c>
      <c r="F3" s="31"/>
      <c r="G3" s="30" t="s">
        <v>47</v>
      </c>
      <c r="H3" s="30"/>
      <c r="I3" s="30" t="s">
        <v>48</v>
      </c>
      <c r="J3" s="30"/>
    </row>
    <row r="4" customFormat="false" ht="33.75" hidden="false" customHeight="true" outlineLevel="0" collapsed="false">
      <c r="A4" s="32" t="n">
        <f aca="false">Portfolio!D18+12*Portfolio!E18</f>
        <v>1152000000</v>
      </c>
      <c r="B4" s="32"/>
      <c r="C4" s="32" t="n">
        <f aca="false">Portfolio!H18</f>
        <v>1175850000</v>
      </c>
      <c r="D4" s="32"/>
      <c r="E4" s="33" t="n">
        <f aca="false">Scenarios!C20</f>
        <v>23850000</v>
      </c>
      <c r="F4" s="33"/>
      <c r="G4" s="34" t="n">
        <f aca="false">Portfolio!C18</f>
        <v>0.603</v>
      </c>
      <c r="H4" s="34"/>
      <c r="I4" s="34" t="n">
        <f aca="false">1-G4</f>
        <v>0.397</v>
      </c>
      <c r="J4" s="34"/>
    </row>
    <row r="7" customFormat="false" ht="15" hidden="false" customHeight="false" outlineLevel="0" collapsed="false">
      <c r="A7" s="2" t="s">
        <v>49</v>
      </c>
      <c r="B7" s="2" t="s">
        <v>50</v>
      </c>
      <c r="C7" s="2" t="s">
        <v>18</v>
      </c>
      <c r="D7" s="3" t="s">
        <v>51</v>
      </c>
      <c r="G7" s="2" t="s">
        <v>32</v>
      </c>
      <c r="H7" s="2" t="s">
        <v>52</v>
      </c>
      <c r="I7" s="2" t="s">
        <v>53</v>
      </c>
      <c r="J7" s="2" t="s">
        <v>54</v>
      </c>
    </row>
    <row r="8" customFormat="false" ht="27" hidden="false" customHeight="true" outlineLevel="0" collapsed="false">
      <c r="A8" s="35" t="n">
        <v>1</v>
      </c>
      <c r="B8" s="6" t="str">
        <f aca="false">INDEX(Portfolio!$A$8:$A$17,MATCH($A8,Portfolio!$L$8:$L$17,0))</f>
        <v>API 모니터링·개발자 포털 SaaS</v>
      </c>
      <c r="C8" s="36" t="n">
        <f aca="false">INDEX(Portfolio!$K$8:$K$17,MATCH($A8,Portfolio!$L$8:$L$17,0))</f>
        <v>58.8166666666667</v>
      </c>
      <c r="D8" s="37" t="n">
        <f aca="false">INDEX(Portfolio!$I$8:$I$17,MATCH($A8,Portfolio!$L$8:$L$17,0))</f>
        <v>25500000</v>
      </c>
      <c r="G8" s="38" t="str">
        <f aca="false">Scenarios!A4</f>
        <v>Downside</v>
      </c>
      <c r="H8" s="39" t="n">
        <f aca="false">Scenarios!B20</f>
        <v>-618120000</v>
      </c>
      <c r="I8" s="39" t="n">
        <f aca="false">H8-$H$9</f>
        <v>-641970000</v>
      </c>
      <c r="J8" s="38" t="str">
        <f aca="false">IF(H8&lt;0,"위험","양호")</f>
        <v>위험</v>
      </c>
    </row>
    <row r="9" customFormat="false" ht="27" hidden="false" customHeight="true" outlineLevel="0" collapsed="false">
      <c r="A9" s="40" t="n">
        <v>2</v>
      </c>
      <c r="B9" s="11" t="str">
        <f aca="false">INDEX(Portfolio!$A$8:$A$17,MATCH($A9,Portfolio!$L$8:$L$17,0))</f>
        <v>영업 파이프라인 자동화 CRM SaaS</v>
      </c>
      <c r="C9" s="41" t="n">
        <f aca="false">INDEX(Portfolio!$K$8:$K$17,MATCH($A9,Portfolio!$L$8:$L$17,0))</f>
        <v>54.5027027027027</v>
      </c>
      <c r="D9" s="42" t="n">
        <f aca="false">INDEX(Portfolio!$I$8:$I$17,MATCH($A9,Portfolio!$L$8:$L$17,0))</f>
        <v>18600000</v>
      </c>
      <c r="G9" s="43" t="str">
        <f aca="false">Scenarios!A5</f>
        <v>Base</v>
      </c>
      <c r="H9" s="44" t="n">
        <f aca="false">Scenarios!C20</f>
        <v>23850000</v>
      </c>
      <c r="I9" s="44" t="n">
        <f aca="false">H9-$H$9</f>
        <v>0</v>
      </c>
      <c r="J9" s="43" t="str">
        <f aca="false">IF(H9&lt;0,"위험","양호")</f>
        <v>양호</v>
      </c>
    </row>
    <row r="10" customFormat="false" ht="27" hidden="false" customHeight="true" outlineLevel="0" collapsed="false">
      <c r="A10" s="35" t="n">
        <v>3</v>
      </c>
      <c r="B10" s="6" t="str">
        <f aca="false">INDEX(Portfolio!$A$8:$A$17,MATCH($A10,Portfolio!$L$8:$L$17,0))</f>
        <v>HR 인력계획·스킬 매칭 SaaS</v>
      </c>
      <c r="C10" s="36" t="n">
        <f aca="false">INDEX(Portfolio!$K$8:$K$17,MATCH($A10,Portfolio!$L$8:$L$17,0))</f>
        <v>51.3289156626506</v>
      </c>
      <c r="D10" s="37" t="n">
        <f aca="false">INDEX(Portfolio!$I$8:$I$17,MATCH($A10,Portfolio!$L$8:$L$17,0))</f>
        <v>15000000</v>
      </c>
      <c r="G10" s="38" t="str">
        <f aca="false">Scenarios!A6</f>
        <v>Upside</v>
      </c>
      <c r="H10" s="39" t="n">
        <f aca="false">Scenarios!D20</f>
        <v>608220000</v>
      </c>
      <c r="I10" s="39" t="n">
        <f aca="false">H10-$H$9</f>
        <v>584370000</v>
      </c>
      <c r="J10" s="38" t="str">
        <f aca="false">IF(H10&lt;0,"위험","양호")</f>
        <v>양호</v>
      </c>
    </row>
    <row r="11" customFormat="false" ht="27" hidden="false" customHeight="true" outlineLevel="0" collapsed="false">
      <c r="A11" s="40" t="n">
        <v>4</v>
      </c>
      <c r="B11" s="11" t="str">
        <f aca="false">INDEX(Portfolio!$A$8:$A$17,MATCH($A11,Portfolio!$L$8:$L$17,0))</f>
        <v>구독형 재무분석 FP&amp;A SaaS</v>
      </c>
      <c r="C11" s="41" t="n">
        <f aca="false">INDEX(Portfolio!$K$8:$K$17,MATCH($A11,Portfolio!$L$8:$L$17,0))</f>
        <v>49.6885245901639</v>
      </c>
      <c r="D11" s="42" t="n">
        <f aca="false">INDEX(Portfolio!$I$8:$I$17,MATCH($A11,Portfolio!$L$8:$L$17,0))</f>
        <v>8200000</v>
      </c>
    </row>
    <row r="12" customFormat="false" ht="27" hidden="false" customHeight="true" outlineLevel="0" collapsed="false">
      <c r="A12" s="35" t="n">
        <v>5</v>
      </c>
      <c r="B12" s="6" t="str">
        <f aca="false">INDEX(Portfolio!$A$8:$A$17,MATCH($A12,Portfolio!$L$8:$L$17,0))</f>
        <v>계약·법무 검토 Copilot</v>
      </c>
      <c r="C12" s="36" t="n">
        <f aca="false">INDEX(Portfolio!$K$8:$K$17,MATCH($A12,Portfolio!$L$8:$L$17,0))</f>
        <v>47.4053191489362</v>
      </c>
      <c r="D12" s="37" t="n">
        <f aca="false">INDEX(Portfolio!$I$8:$I$17,MATCH($A12,Portfolio!$L$8:$L$17,0))</f>
        <v>10000000</v>
      </c>
    </row>
    <row r="31" customFormat="false" ht="15" hidden="false" customHeight="false" outlineLevel="0" collapsed="false">
      <c r="A31" s="45" t="s">
        <v>55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</row>
    <row r="32" customFormat="false" ht="45.75" hidden="false" customHeight="true" outlineLevel="0" collapsed="false">
      <c r="A32" s="46" t="str">
        <f aca="false">IF(Scenarios!B20&lt;0,"Downside에서 순가치가 음수이므로 전액 동시 집행보다 1~3위 투자안의 단계적 집행을 권고합니다.","Downside에서도 순가치가 양수이므로 계획대로 집행 가능합니다.")</f>
        <v>Downside에서 순가치가 음수이므로 전액 동시 집행보다 1~3위 투자안의 단계적 집행을 권고합니다.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customFormat="false" ht="15" hidden="false" customHeight="false" outlineLevel="0" collapsed="false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customFormat="false" ht="15" hidden="false" customHeight="false" outlineLevel="0" collapsed="false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</row>
  </sheetData>
  <mergeCells count="13">
    <mergeCell ref="A1:L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31:L31"/>
    <mergeCell ref="A32:L34"/>
  </mergeCells>
  <conditionalFormatting sqref="C8:C12">
    <cfRule type="dataBar" priority="2">
      <dataBar showValue="1" minLength="10" maxLength="90">
        <cfvo type="min" val="0"/>
        <cfvo type="max" val="0"/>
        <color rgb="FF0F766E"/>
      </dataBar>
      <extLst>
        <ext xmlns:x14="http://schemas.microsoft.com/office/spreadsheetml/2009/9/main" uri="{B025F937-C7B1-47D3-B67F-A62EFF666E3E}">
          <x14:id>{C271EE92-7F33-4CFC-96A0-3FB3A655D84C}</x14:id>
        </ext>
      </extLst>
    </cfRule>
  </conditionalFormatting>
  <conditionalFormatting sqref="H8:H10">
    <cfRule type="cellIs" priority="3" operator="lessThan" aboveAverage="0" equalAverage="0" bottom="0" percent="0" rank="0" text="" dxfId="24">
      <formula>0</formula>
    </cfRule>
    <cfRule type="cellIs" priority="4" operator="greaterThanOrEqual" aboveAverage="0" equalAverage="0" bottom="0" percent="0" rank="0" text="" dxfId="41">
      <formula>0</formula>
    </cfRule>
  </conditionalFormatting>
  <printOptions headings="false" gridLines="false" gridLinesSet="true" horizontalCentered="false" verticalCentered="false"/>
  <pageMargins left="0.2" right="0.2" top="0.35" bottom="0.3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71EE92-7F33-4CFC-96A0-3FB3A655D84C}">
            <x14:dataBar minLength="10" maxLength="90" axisPosition="none" gradient="true">
              <x14:cfvo type="min"/>
              <x14:cfvo type="max"/>
              <x14:negativeFillColor rgb="FF0F766E"/>
              <x14:axisColor rgb="FF000000"/>
            </x14:dataBar>
          </x14:cfRule>
          <xm:sqref>C8:C12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2026-08-09T02:56:14Z</dcterms:created>
  <dc:creator>OpenAI Codex</dc:creator>
  <dc:description/>
  <cp:keywords>gpt-5.6-sol high portfolio investment committee</cp:keywords>
  <dc:language>ko-KR</dc:language>
  <cp:lastModifiedBy/>
  <dcterms:modified xsi:type="dcterms:W3CDTF">2026-08-09T02:56:15Z</dcterms:modified>
  <cp:revision>0</cp:revision>
  <dc:subject>GenOffice model comparison investment portfolio</dc:subject>
  <dc:title>Sol High B2B SaaS Portfolio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