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" sheetId="1" r:id="rId1"/>
    <sheet name="Scenarios" sheetId="2" r:id="rId2"/>
    <sheet name="Dashboard" sheetId="3" r:id="rId3"/>
  </sheets>
  <calcPr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[$₩-412]#,##0;[Red]([$₩-412]#,##0);&quot;-&quot;"/>
    <numFmt numFmtId="166" formatCode="0.0"/>
    <numFmt numFmtId="167" formatCode="[$₩-412]#,##0;[Red]([$$-412]#,##0);&quot;-&quot;"/>
  </numFmts>
  <fonts count="13">
    <font>
      <sz val="11"/>
      <name val="Calibri"/>
    </font>
    <font>
      <b/>
      <sz val="14"/>
      <color rgb="FFFFFFFF"/>
      <name val="Calibri"/>
    </font>
    <font>
      <b/>
      <color rgb="FF1F1F1F"/>
      <sz val="11"/>
      <name val="Calibri"/>
    </font>
    <font>
      <color rgb="FF0000FF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color rgb="FF1F1F1F"/>
      <sz val="11"/>
      <name val="Calibri"/>
    </font>
    <font>
      <color rgb="FF008000"/>
      <sz val="11"/>
      <name val="Calibri"/>
    </font>
    <font>
      <b/>
      <sz val="11"/>
      <name val="Calibri"/>
    </font>
    <font>
      <b/>
      <sz val="16"/>
      <color rgb="FFFFFFFF"/>
      <name val="Calibri"/>
    </font>
    <font>
      <b/>
      <sz val="12"/>
      <color rgb="FF008000"/>
      <name val="Calibri"/>
    </font>
    <font>
      <b/>
      <color rgb="FF008000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CE4D6"/>
        <bgColor indexed="64"/>
      </patternFill>
    </fill>
  </fills>
  <borders count="41">
    <border/>
    <border>
      <bottom style="thin">
        <color rgb="FF17365D"/>
      </bottom>
    </border>
    <border>
      <left style="thin">
        <color rgb="FF9FBAD0"/>
      </left>
      <right style="thin">
        <color rgb="FF9FBAD0"/>
      </right>
      <top style="thin">
        <color rgb="FF9FBAD0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163A5C"/>
      </left>
      <right style="thin">
        <color rgb="FF163A5C"/>
      </right>
      <top style="thin">
        <color rgb="FF163A5C"/>
      </top>
      <bottom/>
    </border>
    <border>
      <left style="thin">
        <color rgb="FFD9E2F3"/>
      </left>
      <right/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/>
      <bottom/>
    </border>
    <border>
      <top/>
    </border>
    <border>
      <left/>
    </border>
    <border>
      <bottom/>
    </border>
    <border>
      <left style="thin">
        <color rgb="FFD9E2F3"/>
      </left>
      <right/>
      <top style="thin">
        <color rgb="FFD9E2F3"/>
      </top>
      <bottom/>
    </border>
    <border>
      <left style="thin">
        <color rgb="FFD9E2F3"/>
      </left>
      <right style="thin">
        <color rgb="FFD9E2F3"/>
      </right>
      <top style="thin">
        <color rgb="FFD9E2F3"/>
      </top>
      <bottom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9FBAD0"/>
      </left>
      <top style="thin">
        <color rgb="FF9FBAD0"/>
      </top>
      <bottom/>
    </border>
    <border>
      <right/>
      <top style="thin">
        <color rgb="FF9FBAD0"/>
      </top>
      <bottom/>
    </border>
    <border>
      <left style="thin">
        <color rgb="FFA9D18E"/>
      </left>
      <top style="thin">
        <color rgb="FFA9D18E"/>
      </top>
      <bottom/>
    </border>
    <border>
      <right/>
      <top style="thin">
        <color rgb="FFA9D18E"/>
      </top>
      <bottom/>
    </border>
    <border>
      <left style="thin">
        <color rgb="FFD6B656"/>
      </left>
      <top style="thin">
        <color rgb="FFD6B656"/>
      </top>
      <bottom/>
    </border>
    <border>
      <right/>
      <top style="thin">
        <color rgb="FFD6B656"/>
      </top>
      <bottom/>
    </border>
    <border>
      <left style="thin">
        <color rgb="FFB4A7D6"/>
      </left>
      <top style="thin">
        <color rgb="FFB4A7D6"/>
      </top>
      <bottom/>
    </border>
    <border>
      <right style="thin">
        <color rgb="FFB4A7D6"/>
      </right>
      <top style="thin">
        <color rgb="FFB4A7D6"/>
      </top>
      <bottom/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right/>
      <top style="thin">
        <color rgb="FF9FBAD0"/>
      </top>
      <bottom style="thin">
        <color rgb="FF9FBAD0"/>
      </bottom>
    </border>
    <border>
      <left style="thin">
        <color rgb="FFA9D18E"/>
      </left>
      <top style="thin">
        <color rgb="FFA9D18E"/>
      </top>
      <bottom style="thin">
        <color rgb="FFA9D18E"/>
      </bottom>
    </border>
    <border>
      <right/>
      <top style="thin">
        <color rgb="FFA9D18E"/>
      </top>
      <bottom style="thin">
        <color rgb="FFA9D18E"/>
      </bottom>
    </border>
    <border>
      <left style="thin">
        <color rgb="FFD6B656"/>
      </left>
      <top style="thin">
        <color rgb="FFD6B656"/>
      </top>
      <bottom style="thin">
        <color rgb="FFD6B656"/>
      </bottom>
    </border>
    <border>
      <right/>
      <top style="thin">
        <color rgb="FFD6B656"/>
      </top>
      <bottom style="thin">
        <color rgb="FFD6B656"/>
      </bottom>
    </border>
    <border>
      <left style="thin">
        <color rgb="FFB4A7D6"/>
      </left>
      <top style="thin">
        <color rgb="FFB4A7D6"/>
      </top>
      <bottom style="thin">
        <color rgb="FFB4A7D6"/>
      </bottom>
    </border>
    <border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E6B8AF"/>
      </left>
      <right style="thin">
        <color rgb="FFE6B8AF"/>
      </right>
      <top style="thin">
        <color rgb="FFE6B8AF"/>
      </top>
      <bottom/>
    </border>
    <border>
      <left style="thin">
        <color rgb="FFD6B656"/>
      </left>
      <right style="thin">
        <color rgb="FFD6B656"/>
      </right>
      <top style="thin">
        <color rgb="FFD6B656"/>
      </top>
      <bottom/>
    </border>
    <border>
      <left style="thin">
        <color rgb="FF163A5C"/>
      </left>
      <top style="thin">
        <color rgb="FF163A5C"/>
      </top>
      <bottom/>
    </border>
    <border>
      <top style="thin">
        <color rgb="FF163A5C"/>
      </top>
      <bottom/>
    </border>
    <border>
      <right style="thin">
        <color rgb="FF163A5C"/>
      </right>
      <top style="thin">
        <color rgb="FF163A5C"/>
      </top>
      <bottom/>
    </border>
    <border>
      <left style="thin">
        <color rgb="FFD6B656"/>
      </left>
      <top style="thin">
        <color rgb="FFD6B656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top style="thin">
        <color rgb="FFD6B656"/>
      </top>
      <bottom style="thin">
        <color rgb="FFD6B656"/>
      </bottom>
    </border>
    <border>
      <right style="thin">
        <color rgb="FFD6B656"/>
      </right>
      <top style="thin">
        <color rgb="FFD6B656"/>
      </top>
      <bottom style="thin">
        <color rgb="FFD6B656"/>
      </bottom>
    </border>
    <border>
      <left/>
      <right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right" vertical="center"/>
    </xf>
    <xf numFmtId="164" fontId="4" fillId="6" borderId="3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165" fontId="3" fillId="5" borderId="6" xfId="0" applyNumberFormat="1" applyFont="1" applyFill="1" applyBorder="1" applyAlignment="1">
      <alignment horizontal="right" vertical="center"/>
    </xf>
    <xf numFmtId="166" fontId="3" fillId="5" borderId="6" xfId="0" applyNumberFormat="1" applyFont="1" applyFill="1" applyBorder="1" applyAlignment="1">
      <alignment horizontal="right" vertical="center"/>
    </xf>
    <xf numFmtId="166" fontId="3" fillId="5" borderId="5" xfId="0" applyNumberFormat="1" applyFont="1" applyFill="1" applyBorder="1" applyAlignment="1">
      <alignment horizontal="right" vertical="center"/>
    </xf>
    <xf numFmtId="165" fontId="4" fillId="6" borderId="6" xfId="0" applyNumberFormat="1" applyFont="1" applyFill="1" applyBorder="1" applyAlignment="1">
      <alignment horizontal="right" vertical="center"/>
    </xf>
    <xf numFmtId="166" fontId="4" fillId="6" borderId="6" xfId="0" applyNumberFormat="1" applyFont="1" applyFill="1" applyBorder="1" applyAlignment="1">
      <alignment horizontal="right" vertical="center"/>
    </xf>
    <xf numFmtId="1" fontId="4" fillId="6" borderId="6" xfId="0" applyNumberFormat="1" applyFont="1" applyFill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 wrapText="1"/>
    </xf>
    <xf numFmtId="165" fontId="8" fillId="6" borderId="6" xfId="0" applyNumberFormat="1" applyFont="1" applyFill="1" applyBorder="1" applyAlignment="1">
      <alignment horizontal="right" vertical="center"/>
    </xf>
    <xf numFmtId="0" fontId="8" fillId="6" borderId="11" xfId="0" applyFont="1" applyFill="1" applyBorder="1" applyAlignment="1">
      <alignment horizontal="left" vertical="center" wrapText="1"/>
    </xf>
    <xf numFmtId="165" fontId="8" fillId="6" borderId="12" xfId="0" applyNumberFormat="1" applyFont="1" applyFill="1" applyBorder="1" applyAlignment="1">
      <alignment horizontal="right" vertical="center"/>
    </xf>
    <xf numFmtId="0" fontId="9" fillId="8" borderId="13" xfId="0" applyFont="1" applyFill="1" applyBorder="1" applyAlignment="1">
      <alignment horizontal="left" vertical="center"/>
    </xf>
    <xf numFmtId="165" fontId="9" fillId="8" borderId="13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167" fontId="11" fillId="3" borderId="22" xfId="0" applyNumberFormat="1" applyFont="1" applyFill="1" applyBorder="1" applyAlignment="1">
      <alignment horizontal="center" vertical="center"/>
    </xf>
    <xf numFmtId="167" fontId="11" fillId="3" borderId="23" xfId="0" applyNumberFormat="1" applyFont="1" applyFill="1" applyBorder="1" applyAlignment="1">
      <alignment horizontal="center" vertical="center"/>
    </xf>
    <xf numFmtId="167" fontId="11" fillId="6" borderId="24" xfId="0" applyNumberFormat="1" applyFont="1" applyFill="1" applyBorder="1" applyAlignment="1">
      <alignment horizontal="center" vertical="center"/>
    </xf>
    <xf numFmtId="167" fontId="11" fillId="6" borderId="25" xfId="0" applyNumberFormat="1" applyFont="1" applyFill="1" applyBorder="1" applyAlignment="1">
      <alignment horizontal="center" vertical="center"/>
    </xf>
    <xf numFmtId="167" fontId="11" fillId="5" borderId="26" xfId="0" applyNumberFormat="1" applyFont="1" applyFill="1" applyBorder="1" applyAlignment="1">
      <alignment horizontal="center" vertical="center"/>
    </xf>
    <xf numFmtId="167" fontId="11" fillId="5" borderId="27" xfId="0" applyNumberFormat="1" applyFont="1" applyFill="1" applyBorder="1" applyAlignment="1">
      <alignment horizontal="center" vertical="center"/>
    </xf>
    <xf numFmtId="164" fontId="11" fillId="9" borderId="28" xfId="0" applyNumberFormat="1" applyFont="1" applyFill="1" applyBorder="1" applyAlignment="1">
      <alignment horizontal="center" vertical="center"/>
    </xf>
    <xf numFmtId="164" fontId="11" fillId="9" borderId="29" xfId="0" applyNumberFormat="1" applyFon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 wrapText="1"/>
    </xf>
    <xf numFmtId="166" fontId="8" fillId="4" borderId="6" xfId="0" applyNumberFormat="1" applyFont="1" applyFill="1" applyBorder="1" applyAlignment="1">
      <alignment horizontal="right" vertical="center"/>
    </xf>
    <xf numFmtId="0" fontId="8" fillId="10" borderId="30" xfId="0" applyFont="1" applyFill="1" applyBorder="1" applyAlignment="1">
      <alignment horizontal="left" vertical="center"/>
    </xf>
    <xf numFmtId="167" fontId="8" fillId="10" borderId="30" xfId="0" applyNumberFormat="1" applyFont="1" applyFill="1" applyBorder="1" applyAlignment="1">
      <alignment horizontal="right" vertical="center"/>
    </xf>
    <xf numFmtId="0" fontId="12" fillId="10" borderId="30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left" vertical="center"/>
    </xf>
    <xf numFmtId="167" fontId="8" fillId="5" borderId="31" xfId="0" applyNumberFormat="1" applyFont="1" applyFill="1" applyBorder="1" applyAlignment="1">
      <alignment horizontal="right" vertical="center"/>
    </xf>
    <xf numFmtId="0" fontId="12" fillId="5" borderId="3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left" vertical="center"/>
    </xf>
    <xf numFmtId="167" fontId="8" fillId="6" borderId="13" xfId="0" applyNumberFormat="1" applyFont="1" applyFill="1" applyBorder="1" applyAlignment="1">
      <alignment horizontal="right" vertical="center"/>
    </xf>
    <xf numFmtId="0" fontId="12" fillId="6" borderId="13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 wrapText="1"/>
    </xf>
    <xf numFmtId="0" fontId="6" fillId="7" borderId="33" xfId="0" applyFont="1" applyFill="1" applyBorder="1" applyAlignment="1">
      <alignment horizontal="center" vertical="center" wrapText="1"/>
    </xf>
    <xf numFmtId="0" fontId="6" fillId="7" borderId="34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left" vertical="center" wrapText="1"/>
    </xf>
    <xf numFmtId="0" fontId="7" fillId="5" borderId="36" xfId="0" applyFont="1" applyFill="1" applyBorder="1" applyAlignment="1">
      <alignment horizontal="left" vertical="center" wrapText="1"/>
    </xf>
    <xf numFmtId="0" fontId="7" fillId="5" borderId="37" xfId="0" applyFont="1" applyFill="1" applyBorder="1" applyAlignment="1">
      <alignment horizontal="left" vertical="center" wrapText="1"/>
    </xf>
    <xf numFmtId="0" fontId="7" fillId="5" borderId="26" xfId="0" applyFont="1" applyFill="1" applyBorder="1" applyAlignment="1">
      <alignment horizontal="left" vertical="center" wrapText="1"/>
    </xf>
    <xf numFmtId="0" fontId="7" fillId="5" borderId="38" xfId="0" applyFont="1" applyFill="1" applyBorder="1" applyAlignment="1">
      <alignment horizontal="left" vertical="center" wrapText="1"/>
    </xf>
    <xf numFmtId="0" fontId="7" fillId="5" borderId="39" xfId="0" applyFont="1" applyFill="1" applyBorder="1" applyAlignment="1">
      <alignment horizontal="left" vertical="center" wrapText="1"/>
    </xf>
    <xf numFmtId="0" fontId="0" fillId="0" borderId="40" xfId="0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M18"/>
  <sheetViews>
    <sheetView workbookViewId="0">
      <pane ySplit="7" topLeftCell="A8" activePane="bottomLeft" state="frozen"/>
    </sheetView>
  </sheetViews>
  <cols>
    <col min="1" max="1" width="32.14453125" customWidth="1"/>
    <col min="2" max="2" width="16.4296875" customWidth="1"/>
    <col min="3" max="3" width="12.14453125" customWidth="1"/>
    <col min="4" max="4" width="17.14453125" customWidth="1"/>
    <col min="5" max="5" width="17.14453125" customWidth="1"/>
    <col min="6" max="6" width="10.71484375" customWidth="1"/>
    <col min="7" max="7" width="10.71484375" customWidth="1"/>
    <col min="8" max="8" width="16.4296875" customWidth="1"/>
    <col min="9" max="9" width="19.28515625" customWidth="1"/>
    <col min="10" max="10" width="11.4296875" customWidth="1"/>
    <col min="11" max="11" width="17.14453125" customWidth="1"/>
    <col min="12" max="12" width="10.71484375" customWidth="1"/>
  </cols>
  <sheetData>
    <row r="1" ht="27.75" customHeight="1">
      <c r="A1" s="1" t="inlineStr">
        <is>
          <t xml:space="preserve">B2B SaaS 이니셔티브 포트폴리오 평가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5"/>
      <c r="B2" s="15"/>
      <c r="C2" s="15"/>
      <c r="D2" s="15"/>
      <c r="E2" s="15"/>
      <c r="F2" s="15"/>
      <c r="G2" s="16"/>
      <c r="H2" s="16"/>
      <c r="I2" s="16"/>
      <c r="J2" s="16"/>
      <c r="K2" s="16"/>
      <c r="L2" s="16"/>
    </row>
    <row r="3" ht="24" customHeight="1">
      <c r="A3" s="2" t="inlineStr">
        <is>
          <t xml:space="preserve">가정</t>
        </is>
      </c>
      <c r="B3" s="2" t="inlineStr">
        <is>
          <t xml:space="preserve">전략 가중치</t>
        </is>
      </c>
      <c r="C3" s="2" t="inlineStr">
        <is>
          <t xml:space="preserve">재무 가중치</t>
        </is>
      </c>
      <c r="D3" s="2" t="inlineStr">
        <is>
          <t xml:space="preserve">리스크 가중치</t>
        </is>
      </c>
      <c r="E3" s="2" t="inlineStr">
        <is>
          <t xml:space="preserve">가중치 합계</t>
        </is>
      </c>
      <c r="F3" s="2" t="inlineStr">
        <is>
          <t xml:space="preserve">100% 검증</t>
        </is>
      </c>
      <c r="G3" s="17"/>
    </row>
    <row r="4" ht="24" customHeight="1">
      <c r="A4" s="3" t="inlineStr">
        <is>
          <t xml:space="preserve">기준</t>
        </is>
      </c>
      <c r="B4" s="4">
        <v>0.35</v>
      </c>
      <c r="C4" s="4">
        <v>0.4</v>
      </c>
      <c r="D4" s="4">
        <v>0.25</v>
      </c>
      <c r="E4" s="5">
        <f>SUM(B4:D4)</f>
      </c>
      <c r="F4" s="6">
        <f>IF(E4=1,"검증 완료","오류")</f>
      </c>
      <c r="G4" s="17"/>
    </row>
    <row r="5">
      <c r="A5" s="16"/>
      <c r="B5" s="16"/>
      <c r="C5" s="16"/>
      <c r="D5" s="16"/>
      <c r="E5" s="16"/>
      <c r="F5" s="16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ht="42" customHeight="1">
      <c r="A7" s="7" t="inlineStr">
        <is>
          <t xml:space="preserve">이니셔티브</t>
        </is>
      </c>
      <c r="B7" s="7" t="inlineStr">
        <is>
          <t xml:space="preserve">예상 ARR(원)</t>
        </is>
      </c>
      <c r="C7" s="7" t="inlineStr">
        <is>
          <t xml:space="preserve">성공확률</t>
        </is>
      </c>
      <c r="D7" s="7" t="inlineStr">
        <is>
          <t xml:space="preserve">초기개발비(원)</t>
        </is>
      </c>
      <c r="E7" s="7" t="inlineStr">
        <is>
          <t xml:space="preserve">월운영비(원)</t>
        </is>
      </c>
      <c r="F7" s="7" t="inlineStr">
        <is>
          <t xml:space="preserve">전략점수</t>
        </is>
      </c>
      <c r="G7" s="7" t="inlineStr">
        <is>
          <t xml:space="preserve">리스크점수</t>
        </is>
      </c>
      <c r="H7" s="7" t="inlineStr">
        <is>
          <t xml:space="preserve">기대 ARR</t>
        </is>
      </c>
      <c r="I7" s="7" t="inlineStr">
        <is>
          <t xml:space="preserve">12개월 순가치</t>
        </is>
      </c>
      <c r="J7" s="7" t="inlineStr">
        <is>
          <t xml:space="preserve">ROI</t>
        </is>
      </c>
      <c r="K7" s="7" t="inlineStr">
        <is>
          <t xml:space="preserve">리스크조정점수</t>
        </is>
      </c>
      <c r="L7" s="7" t="inlineStr">
        <is>
          <t xml:space="preserve">우선순위</t>
        </is>
      </c>
      <c r="M7" s="17"/>
    </row>
    <row r="8" ht="30" customHeight="1">
      <c r="A8" s="8" t="inlineStr">
        <is>
          <t xml:space="preserve">영업 파이프라인 자동화 CRM SaaS</t>
        </is>
      </c>
      <c r="B8" s="9">
        <v>180000000</v>
      </c>
      <c r="C8" s="4">
        <v>0.72</v>
      </c>
      <c r="D8" s="9">
        <v>45000000</v>
      </c>
      <c r="E8" s="9">
        <v>5500000</v>
      </c>
      <c r="F8" s="10">
        <v>88</v>
      </c>
      <c r="G8" s="11">
        <v>32</v>
      </c>
      <c r="H8" s="12">
        <f>B8*C8</f>
      </c>
      <c r="I8" s="12">
        <f>H8-(D8+12*E8)</f>
      </c>
      <c r="J8" s="5">
        <f>I8/(D8+12*E8)</f>
      </c>
      <c r="K8" s="13">
        <f>$B$4*F8+$C$4*(J8*100)+$D$4*(100-G8)</f>
      </c>
      <c r="L8" s="14">
        <f>RANK(K8,$K$8:$K$17,0)</f>
      </c>
      <c r="M8" s="17"/>
    </row>
    <row r="9" ht="30" customHeight="1">
      <c r="A9" s="8" t="inlineStr">
        <is>
          <t xml:space="preserve">계약·법무 검토 Copilot</t>
        </is>
      </c>
      <c r="B9" s="9">
        <v>160000000</v>
      </c>
      <c r="C9" s="4">
        <v>0.65</v>
      </c>
      <c r="D9" s="9">
        <v>40000000</v>
      </c>
      <c r="E9" s="9">
        <v>4500000</v>
      </c>
      <c r="F9" s="10">
        <v>84</v>
      </c>
      <c r="G9" s="11">
        <v>45</v>
      </c>
      <c r="H9" s="12">
        <f>B9*C9</f>
      </c>
      <c r="I9" s="12">
        <f>H9-(D9+12*E9)</f>
      </c>
      <c r="J9" s="5">
        <f>I9/(D9+12*E9)</f>
      </c>
      <c r="K9" s="13">
        <f>$B$4*F9+$C$4*(J9*100)+$D$4*(100-G9)</f>
      </c>
      <c r="L9" s="14">
        <f>RANK(K9,$K$8:$K$17,0)</f>
      </c>
      <c r="M9" s="17"/>
    </row>
    <row r="10" ht="30" customHeight="1">
      <c r="A10" s="8" t="inlineStr">
        <is>
          <t xml:space="preserve">B2B 고객지원 AI 챗봇</t>
        </is>
      </c>
      <c r="B10" s="9">
        <v>240000000</v>
      </c>
      <c r="C10" s="4">
        <v>0.58</v>
      </c>
      <c r="D10" s="9">
        <v>60000000</v>
      </c>
      <c r="E10" s="9">
        <v>7000000</v>
      </c>
      <c r="F10" s="10">
        <v>82</v>
      </c>
      <c r="G10" s="11">
        <v>55</v>
      </c>
      <c r="H10" s="12">
        <f>B10*C10</f>
      </c>
      <c r="I10" s="12">
        <f>H10-(D10+12*E10)</f>
      </c>
      <c r="J10" s="5">
        <f>I10/(D10+12*E10)</f>
      </c>
      <c r="K10" s="13">
        <f>$B$4*F10+$C$4*(J10*100)+$D$4*(100-G10)</f>
      </c>
      <c r="L10" s="14">
        <f>RANK(K10,$K$8:$K$17,0)</f>
      </c>
      <c r="M10" s="17"/>
    </row>
    <row r="11" ht="30" customHeight="1">
      <c r="A11" s="8" t="inlineStr">
        <is>
          <t xml:space="preserve">구독형 재무분석 FP&amp;A SaaS</t>
        </is>
      </c>
      <c r="B11" s="9">
        <v>210000000</v>
      </c>
      <c r="C11" s="4">
        <v>0.62</v>
      </c>
      <c r="D11" s="9">
        <v>50000000</v>
      </c>
      <c r="E11" s="9">
        <v>6000000</v>
      </c>
      <c r="F11" s="10">
        <v>90</v>
      </c>
      <c r="G11" s="11">
        <v>38</v>
      </c>
      <c r="H11" s="12">
        <f>B11*C11</f>
      </c>
      <c r="I11" s="12">
        <f>H11-(D11+12*E11)</f>
      </c>
      <c r="J11" s="5">
        <f>I11/(D11+12*E11)</f>
      </c>
      <c r="K11" s="13">
        <f>$B$4*F11+$C$4*(J11*100)+$D$4*(100-G11)</f>
      </c>
      <c r="L11" s="14">
        <f>RANK(K11,$K$8:$K$17,0)</f>
      </c>
      <c r="M11" s="17"/>
    </row>
    <row r="12" ht="30" customHeight="1">
      <c r="A12" s="8" t="inlineStr">
        <is>
          <t xml:space="preserve">공급망 수요예측 SaaS</t>
        </is>
      </c>
      <c r="B12" s="9">
        <v>300000000</v>
      </c>
      <c r="C12" s="4">
        <v>0.48</v>
      </c>
      <c r="D12" s="9">
        <v>75000000</v>
      </c>
      <c r="E12" s="9">
        <v>8500000</v>
      </c>
      <c r="F12" s="10">
        <v>86</v>
      </c>
      <c r="G12" s="11">
        <v>68</v>
      </c>
      <c r="H12" s="12">
        <f>B12*C12</f>
      </c>
      <c r="I12" s="12">
        <f>H12-(D12+12*E12)</f>
      </c>
      <c r="J12" s="5">
        <f>I12/(D12+12*E12)</f>
      </c>
      <c r="K12" s="13">
        <f>$B$4*F12+$C$4*(J12*100)+$D$4*(100-G12)</f>
      </c>
      <c r="L12" s="14">
        <f>RANK(K12,$K$8:$K$17,0)</f>
      </c>
      <c r="M12" s="17"/>
    </row>
    <row r="13" ht="30" customHeight="1">
      <c r="A13" s="8" t="inlineStr">
        <is>
          <t xml:space="preserve">HR 인력계획·스킬 매칭 SaaS</t>
        </is>
      </c>
      <c r="B13" s="9">
        <v>140000000</v>
      </c>
      <c r="C13" s="4">
        <v>0.7</v>
      </c>
      <c r="D13" s="9">
        <v>35000000</v>
      </c>
      <c r="E13" s="9">
        <v>4000000</v>
      </c>
      <c r="F13" s="10">
        <v>76</v>
      </c>
      <c r="G13" s="11">
        <v>30</v>
      </c>
      <c r="H13" s="12">
        <f>B13*C13</f>
      </c>
      <c r="I13" s="12">
        <f>H13-(D13+12*E13)</f>
      </c>
      <c r="J13" s="5">
        <f>I13/(D13+12*E13)</f>
      </c>
      <c r="K13" s="13">
        <f>$B$4*F13+$C$4*(J13*100)+$D$4*(100-G13)</f>
      </c>
      <c r="L13" s="14">
        <f>RANK(K13,$K$8:$K$17,0)</f>
      </c>
      <c r="M13" s="17"/>
    </row>
    <row r="14" ht="30" customHeight="1">
      <c r="A14" s="8" t="inlineStr">
        <is>
          <t xml:space="preserve">보안 컴플라이언스 관리 SaaS</t>
        </is>
      </c>
      <c r="B14" s="9">
        <v>190000000</v>
      </c>
      <c r="C14" s="4">
        <v>0.6</v>
      </c>
      <c r="D14" s="9">
        <v>48000000</v>
      </c>
      <c r="E14" s="9">
        <v>5500000</v>
      </c>
      <c r="F14" s="10">
        <v>92</v>
      </c>
      <c r="G14" s="11">
        <v>50</v>
      </c>
      <c r="H14" s="12">
        <f>B14*C14</f>
      </c>
      <c r="I14" s="12">
        <f>H14-(D14+12*E14)</f>
      </c>
      <c r="J14" s="5">
        <f>I14/(D14+12*E14)</f>
      </c>
      <c r="K14" s="13">
        <f>$B$4*F14+$C$4*(J14*100)+$D$4*(100-G14)</f>
      </c>
      <c r="L14" s="14">
        <f>RANK(K14,$K$8:$K$17,0)</f>
      </c>
      <c r="M14" s="17"/>
    </row>
    <row r="15" ht="30" customHeight="1">
      <c r="A15" s="8" t="inlineStr">
        <is>
          <t xml:space="preserve">API 모니터링·개발자 포털 SaaS</t>
        </is>
      </c>
      <c r="B15" s="9">
        <v>125000000</v>
      </c>
      <c r="C15" s="4">
        <v>0.78</v>
      </c>
      <c r="D15" s="9">
        <v>30000000</v>
      </c>
      <c r="E15" s="9">
        <v>3500000</v>
      </c>
      <c r="F15" s="10">
        <v>74</v>
      </c>
      <c r="G15" s="11">
        <v>25</v>
      </c>
      <c r="H15" s="12">
        <f>B15*C15</f>
      </c>
      <c r="I15" s="12">
        <f>H15-(D15+12*E15)</f>
      </c>
      <c r="J15" s="5">
        <f>I15/(D15+12*E15)</f>
      </c>
      <c r="K15" s="13">
        <f>$B$4*F15+$C$4*(J15*100)+$D$4*(100-G15)</f>
      </c>
      <c r="L15" s="14">
        <f>RANK(K15,$K$8:$K$17,0)</f>
      </c>
      <c r="M15" s="17"/>
    </row>
    <row r="16" ht="30" customHeight="1">
      <c r="A16" s="8" t="inlineStr">
        <is>
          <t xml:space="preserve">B2B 마케팅 어트리뷰션 SaaS</t>
        </is>
      </c>
      <c r="B16" s="9">
        <v>230000000</v>
      </c>
      <c r="C16" s="4">
        <v>0.52</v>
      </c>
      <c r="D16" s="9">
        <v>55000000</v>
      </c>
      <c r="E16" s="9">
        <v>6500000</v>
      </c>
      <c r="F16" s="10">
        <v>80</v>
      </c>
      <c r="G16" s="11">
        <v>60</v>
      </c>
      <c r="H16" s="12">
        <f>B16*C16</f>
      </c>
      <c r="I16" s="12">
        <f>H16-(D16+12*E16)</f>
      </c>
      <c r="J16" s="5">
        <f>I16/(D16+12*E16)</f>
      </c>
      <c r="K16" s="13">
        <f>$B$4*F16+$C$4*(J16*100)+$D$4*(100-G16)</f>
      </c>
      <c r="L16" s="14">
        <f>RANK(K16,$K$8:$K$17,0)</f>
      </c>
      <c r="M16" s="17"/>
    </row>
    <row r="17" ht="30" customHeight="1">
      <c r="A17" s="8" t="inlineStr">
        <is>
          <t xml:space="preserve">전자조달·벤더 리스크 SaaS</t>
        </is>
      </c>
      <c r="B17" s="9">
        <v>175000000</v>
      </c>
      <c r="C17" s="4">
        <v>0.57</v>
      </c>
      <c r="D17" s="9">
        <v>42000000</v>
      </c>
      <c r="E17" s="9">
        <v>5000000</v>
      </c>
      <c r="F17" s="10">
        <v>83</v>
      </c>
      <c r="G17" s="11">
        <v>48</v>
      </c>
      <c r="H17" s="12">
        <f>B17*C17</f>
      </c>
      <c r="I17" s="12">
        <f>H17-(D17+12*E17)</f>
      </c>
      <c r="J17" s="5">
        <f>I17/(D17+12*E17)</f>
      </c>
      <c r="K17" s="13">
        <f>$B$4*F17+$C$4*(J17*100)+$D$4*(100-G17)</f>
      </c>
      <c r="L17" s="14">
        <f>RANK(K17,$K$8:$K$17,0)</f>
      </c>
      <c r="M17" s="17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</sheetData>
  <mergeCells count="1">
    <mergeCell ref="A1:L1"/>
  </mergeCells>
  <conditionalFormatting sqref="G8:G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:J17">
    <cfRule type="cellIs" dxfId="0" priority="2" operator="greaterThanOrEqual">
      <formula>0</formula>
    </cfRule>
  </conditionalFormatting>
  <conditionalFormatting sqref="J8:J17">
    <cfRule type="cellIs" dxfId="1" priority="3" operator="lessThan">
      <formula>0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9" topLeftCell="A10" activePane="bottomLeft" state="frozen"/>
    </sheetView>
  </sheetViews>
  <cols>
    <col min="1" max="1" width="36.4296875" customWidth="1"/>
    <col min="2" max="4" width="22.14453125" customWidth="1"/>
  </cols>
  <sheetData>
    <row r="1" ht="27.75" customHeight="1">
      <c r="A1" s="19" t="inlineStr">
        <is>
          <t xml:space="preserve">B2B SaaS 시나리오 분석</t>
        </is>
      </c>
      <c r="B1" s="19"/>
      <c r="C1" s="19"/>
      <c r="D1" s="19"/>
    </row>
    <row r="2">
      <c r="A2" s="15"/>
      <c r="B2" s="15"/>
      <c r="C2" s="15"/>
      <c r="D2" s="15"/>
    </row>
    <row r="3" ht="30" customHeight="1">
      <c r="A3" s="2" t="inlineStr">
        <is>
          <t xml:space="preserve">시나리오</t>
        </is>
      </c>
      <c r="B3" s="2" t="inlineStr">
        <is>
          <t xml:space="preserve">ARR 배수</t>
        </is>
      </c>
      <c r="C3" s="2" t="inlineStr">
        <is>
          <t xml:space="preserve">성공확률 조정</t>
        </is>
      </c>
      <c r="D3" s="2" t="inlineStr">
        <is>
          <t xml:space="preserve">비용 배수</t>
        </is>
      </c>
      <c r="E3" s="17"/>
    </row>
    <row r="4">
      <c r="A4" s="20" t="inlineStr">
        <is>
          <t xml:space="preserve">Downside</t>
        </is>
      </c>
      <c r="B4" s="4">
        <v>0.8</v>
      </c>
      <c r="C4" s="4">
        <v>-0.15</v>
      </c>
      <c r="D4" s="4">
        <v>1.15</v>
      </c>
      <c r="E4" s="17"/>
    </row>
    <row r="5">
      <c r="A5" s="20" t="inlineStr">
        <is>
          <t xml:space="preserve">Base</t>
        </is>
      </c>
      <c r="B5" s="4">
        <v>1</v>
      </c>
      <c r="C5" s="4">
        <v>0</v>
      </c>
      <c r="D5" s="4">
        <v>1</v>
      </c>
      <c r="E5" s="17"/>
    </row>
    <row r="6">
      <c r="A6" s="20" t="inlineStr">
        <is>
          <t xml:space="preserve">Upside</t>
        </is>
      </c>
      <c r="B6" s="4">
        <v>1.2</v>
      </c>
      <c r="C6" s="4">
        <v>0.1</v>
      </c>
      <c r="D6" s="4">
        <v>0.9</v>
      </c>
      <c r="E6" s="17"/>
    </row>
    <row r="7">
      <c r="A7" s="16"/>
      <c r="B7" s="16"/>
      <c r="C7" s="16"/>
      <c r="D7" s="16"/>
    </row>
    <row r="8">
      <c r="A8" s="18"/>
      <c r="B8" s="18"/>
      <c r="C8" s="18"/>
      <c r="D8" s="18"/>
    </row>
    <row r="9" ht="42" customHeight="1">
      <c r="A9" s="7" t="inlineStr">
        <is>
          <t xml:space="preserve">이니셔티브</t>
        </is>
      </c>
      <c r="B9" s="7" t="inlineStr">
        <is>
          <t xml:space="preserve">Downside 기대 순가치(원)</t>
        </is>
      </c>
      <c r="C9" s="7" t="inlineStr">
        <is>
          <t xml:space="preserve">Base 기대 순가치(원)</t>
        </is>
      </c>
      <c r="D9" s="7" t="inlineStr">
        <is>
          <t xml:space="preserve">Upside 기대 순가치(원)</t>
        </is>
      </c>
      <c r="E9" s="17"/>
    </row>
    <row r="10" ht="30" customHeight="1">
      <c r="A10" s="21">
        <f>Portfolio!$A8</f>
      </c>
      <c r="B10" s="22">
        <f>Portfolio!$B8*$B$4*(Portfolio!$C8+$C$4)-(Portfolio!$D8+12*Portfolio!$E8)*$D$4</f>
      </c>
      <c r="C10" s="22">
        <f>Portfolio!$B8*$B$5*(Portfolio!$C8+$C$5)-(Portfolio!$D8+12*Portfolio!$E8)*$D$5</f>
      </c>
      <c r="D10" s="22">
        <f>Portfolio!$B8*$B$6*(Portfolio!$C8+$C$6)-(Portfolio!$D8+12*Portfolio!$E8)*$D$6</f>
      </c>
      <c r="E10" s="17"/>
    </row>
    <row r="11" ht="30" customHeight="1">
      <c r="A11" s="21">
        <f>Portfolio!$A9</f>
      </c>
      <c r="B11" s="22">
        <f>Portfolio!$B9*$B$4*(Portfolio!$C9+$C$4)-(Portfolio!$D9+12*Portfolio!$E9)*$D$4</f>
      </c>
      <c r="C11" s="22">
        <f>Portfolio!$B9*$B$5*(Portfolio!$C9+$C$5)-(Portfolio!$D9+12*Portfolio!$E9)*$D$5</f>
      </c>
      <c r="D11" s="22">
        <f>Portfolio!$B9*$B$6*(Portfolio!$C9+$C$6)-(Portfolio!$D9+12*Portfolio!$E9)*$D$6</f>
      </c>
      <c r="E11" s="17"/>
    </row>
    <row r="12" ht="30" customHeight="1">
      <c r="A12" s="21">
        <f>Portfolio!$A10</f>
      </c>
      <c r="B12" s="22">
        <f>Portfolio!$B10*$B$4*(Portfolio!$C10+$C$4)-(Portfolio!$D10+12*Portfolio!$E10)*$D$4</f>
      </c>
      <c r="C12" s="22">
        <f>Portfolio!$B10*$B$5*(Portfolio!$C10+$C$5)-(Portfolio!$D10+12*Portfolio!$E10)*$D$5</f>
      </c>
      <c r="D12" s="22">
        <f>Portfolio!$B10*$B$6*(Portfolio!$C10+$C$6)-(Portfolio!$D10+12*Portfolio!$E10)*$D$6</f>
      </c>
      <c r="E12" s="17"/>
    </row>
    <row r="13" ht="30" customHeight="1">
      <c r="A13" s="21">
        <f>Portfolio!$A11</f>
      </c>
      <c r="B13" s="22">
        <f>Portfolio!$B11*$B$4*(Portfolio!$C11+$C$4)-(Portfolio!$D11+12*Portfolio!$E11)*$D$4</f>
      </c>
      <c r="C13" s="22">
        <f>Portfolio!$B11*$B$5*(Portfolio!$C11+$C$5)-(Portfolio!$D11+12*Portfolio!$E11)*$D$5</f>
      </c>
      <c r="D13" s="22">
        <f>Portfolio!$B11*$B$6*(Portfolio!$C11+$C$6)-(Portfolio!$D11+12*Portfolio!$E11)*$D$6</f>
      </c>
      <c r="E13" s="17"/>
    </row>
    <row r="14" ht="30" customHeight="1">
      <c r="A14" s="21">
        <f>Portfolio!$A12</f>
      </c>
      <c r="B14" s="22">
        <f>Portfolio!$B12*$B$4*(Portfolio!$C12+$C$4)-(Portfolio!$D12+12*Portfolio!$E12)*$D$4</f>
      </c>
      <c r="C14" s="22">
        <f>Portfolio!$B12*$B$5*(Portfolio!$C12+$C$5)-(Portfolio!$D12+12*Portfolio!$E12)*$D$5</f>
      </c>
      <c r="D14" s="22">
        <f>Portfolio!$B12*$B$6*(Portfolio!$C12+$C$6)-(Portfolio!$D12+12*Portfolio!$E12)*$D$6</f>
      </c>
      <c r="E14" s="17"/>
    </row>
    <row r="15" ht="30" customHeight="1">
      <c r="A15" s="21">
        <f>Portfolio!$A13</f>
      </c>
      <c r="B15" s="22">
        <f>Portfolio!$B13*$B$4*(Portfolio!$C13+$C$4)-(Portfolio!$D13+12*Portfolio!$E13)*$D$4</f>
      </c>
      <c r="C15" s="22">
        <f>Portfolio!$B13*$B$5*(Portfolio!$C13+$C$5)-(Portfolio!$D13+12*Portfolio!$E13)*$D$5</f>
      </c>
      <c r="D15" s="22">
        <f>Portfolio!$B13*$B$6*(Portfolio!$C13+$C$6)-(Portfolio!$D13+12*Portfolio!$E13)*$D$6</f>
      </c>
      <c r="E15" s="17"/>
    </row>
    <row r="16" ht="30" customHeight="1">
      <c r="A16" s="21">
        <f>Portfolio!$A14</f>
      </c>
      <c r="B16" s="22">
        <f>Portfolio!$B14*$B$4*(Portfolio!$C14+$C$4)-(Portfolio!$D14+12*Portfolio!$E14)*$D$4</f>
      </c>
      <c r="C16" s="22">
        <f>Portfolio!$B14*$B$5*(Portfolio!$C14+$C$5)-(Portfolio!$D14+12*Portfolio!$E14)*$D$5</f>
      </c>
      <c r="D16" s="22">
        <f>Portfolio!$B14*$B$6*(Portfolio!$C14+$C$6)-(Portfolio!$D14+12*Portfolio!$E14)*$D$6</f>
      </c>
      <c r="E16" s="17"/>
    </row>
    <row r="17" ht="30" customHeight="1">
      <c r="A17" s="21">
        <f>Portfolio!$A15</f>
      </c>
      <c r="B17" s="22">
        <f>Portfolio!$B15*$B$4*(Portfolio!$C15+$C$4)-(Portfolio!$D15+12*Portfolio!$E15)*$D$4</f>
      </c>
      <c r="C17" s="22">
        <f>Portfolio!$B15*$B$5*(Portfolio!$C15+$C$5)-(Portfolio!$D15+12*Portfolio!$E15)*$D$5</f>
      </c>
      <c r="D17" s="22">
        <f>Portfolio!$B15*$B$6*(Portfolio!$C15+$C$6)-(Portfolio!$D15+12*Portfolio!$E15)*$D$6</f>
      </c>
      <c r="E17" s="17"/>
    </row>
    <row r="18" ht="30" customHeight="1">
      <c r="A18" s="21">
        <f>Portfolio!$A16</f>
      </c>
      <c r="B18" s="22">
        <f>Portfolio!$B16*$B$4*(Portfolio!$C16+$C$4)-(Portfolio!$D16+12*Portfolio!$E16)*$D$4</f>
      </c>
      <c r="C18" s="22">
        <f>Portfolio!$B16*$B$5*(Portfolio!$C16+$C$5)-(Portfolio!$D16+12*Portfolio!$E16)*$D$5</f>
      </c>
      <c r="D18" s="22">
        <f>Portfolio!$B16*$B$6*(Portfolio!$C16+$C$6)-(Portfolio!$D16+12*Portfolio!$E16)*$D$6</f>
      </c>
      <c r="E18" s="17"/>
    </row>
    <row r="19" ht="30" customHeight="1">
      <c r="A19" s="23">
        <f>Portfolio!$A17</f>
      </c>
      <c r="B19" s="24">
        <f>Portfolio!$B17*$B$4*(Portfolio!$C17+$C$4)-(Portfolio!$D17+12*Portfolio!$E17)*$D$4</f>
      </c>
      <c r="C19" s="24">
        <f>Portfolio!$B17*$B$5*(Portfolio!$C17+$C$5)-(Portfolio!$D17+12*Portfolio!$E17)*$D$5</f>
      </c>
      <c r="D19" s="24">
        <f>Portfolio!$B17*$B$6*(Portfolio!$C17+$C$6)-(Portfolio!$D17+12*Portfolio!$E17)*$D$6</f>
      </c>
      <c r="E19" s="17"/>
    </row>
    <row r="20" ht="30" customHeight="1">
      <c r="A20" s="25" t="inlineStr">
        <is>
          <t xml:space="preserve">포트폴리오 합계</t>
        </is>
      </c>
      <c r="B20" s="26">
        <f>SUM(B10:B19)</f>
      </c>
      <c r="C20" s="26">
        <f>SUM(C10:C19)</f>
      </c>
      <c r="D20" s="26">
        <f>SUM(D10:D19)</f>
      </c>
      <c r="E20" s="17"/>
    </row>
    <row r="21">
      <c r="A21" s="16"/>
      <c r="B21" s="16"/>
      <c r="C21" s="16"/>
      <c r="D21" s="16"/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pane ySplit="7" topLeftCell="A8" activePane="bottomLeft" state="frozen"/>
    </sheetView>
  </sheetViews>
  <cols>
    <col min="1" max="1" width="16.4296875" customWidth="1"/>
    <col min="2" max="2" width="33.5703125" customWidth="1"/>
    <col min="3" max="3" width="16.4296875" customWidth="1"/>
    <col min="4" max="4" width="3.5703125" customWidth="1"/>
    <col min="5" max="5" width="16.4296875" customWidth="1"/>
    <col min="6" max="6" width="23.5703125" customWidth="1"/>
    <col min="7" max="7" width="17.85546875" customWidth="1"/>
    <col min="8" max="8" width="13.5703125" customWidth="1"/>
  </cols>
  <sheetData>
    <row r="1" ht="30" customHeight="1">
      <c r="A1" s="27" t="inlineStr">
        <is>
          <t xml:space="preserve">B2B SaaS 투자 포트폴리오 대시보드</t>
        </is>
      </c>
      <c r="B1" s="27"/>
      <c r="C1" s="27"/>
      <c r="D1" s="27"/>
      <c r="E1" s="27"/>
      <c r="F1" s="27"/>
      <c r="G1" s="27"/>
      <c r="H1" s="27"/>
    </row>
    <row r="2">
      <c r="A2" s="15"/>
      <c r="B2" s="15"/>
      <c r="C2" s="15"/>
      <c r="D2" s="15"/>
      <c r="E2" s="15"/>
      <c r="F2" s="15"/>
      <c r="G2" s="15"/>
      <c r="H2" s="15"/>
    </row>
    <row r="3" ht="26.25" customHeight="1">
      <c r="A3" s="28" t="inlineStr">
        <is>
          <t xml:space="preserve">총 투자비</t>
        </is>
      </c>
      <c r="B3" s="29"/>
      <c r="C3" s="30" t="inlineStr">
        <is>
          <t xml:space="preserve">총 기대 ARR</t>
        </is>
      </c>
      <c r="D3" s="31"/>
      <c r="E3" s="32" t="inlineStr">
        <is>
          <t xml:space="preserve">포트폴리오 기대 순가치</t>
        </is>
      </c>
      <c r="F3" s="33"/>
      <c r="G3" s="34" t="inlineStr">
        <is>
          <t xml:space="preserve">가중 평균 성공확률</t>
        </is>
      </c>
      <c r="H3" s="35"/>
      <c r="I3" s="17"/>
    </row>
    <row r="4" ht="32.25" customHeight="1">
      <c r="A4" s="36">
        <f>SUM(Portfolio!$D$8:$D$17)+12*SUM(Portfolio!$E$8:$E$17)</f>
      </c>
      <c r="B4" s="37"/>
      <c r="C4" s="38">
        <f>SUM(Portfolio!$H$8:$H$17)</f>
      </c>
      <c r="D4" s="39"/>
      <c r="E4" s="40">
        <f>SUM(Portfolio!$I$8:$I$17)</f>
      </c>
      <c r="F4" s="41"/>
      <c r="G4" s="42">
        <f>SUMPRODUCT(Portfolio!$B$8:$B$17,Portfolio!$C$8:$C$17)/SUM(Portfolio!$B$8:$B$17)</f>
      </c>
      <c r="H4" s="43"/>
      <c r="I4" s="17"/>
    </row>
    <row r="5">
      <c r="A5" s="16"/>
      <c r="B5" s="16"/>
      <c r="C5" s="16"/>
      <c r="D5" s="16"/>
      <c r="E5" s="16"/>
      <c r="F5" s="16"/>
      <c r="G5" s="16"/>
      <c r="H5" s="16"/>
    </row>
    <row r="6">
      <c r="A6" s="18"/>
      <c r="B6" s="18"/>
      <c r="C6" s="18"/>
      <c r="E6" s="18"/>
      <c r="F6" s="18"/>
      <c r="G6" s="18"/>
      <c r="H6" s="18"/>
    </row>
    <row r="7" ht="39.75" customHeight="1">
      <c r="A7" s="7" t="inlineStr">
        <is>
          <t xml:space="preserve">순위</t>
        </is>
      </c>
      <c r="B7" s="7" t="inlineStr">
        <is>
          <t xml:space="preserve">투자안</t>
        </is>
      </c>
      <c r="C7" s="7" t="inlineStr">
        <is>
          <t xml:space="preserve">리스크조정점수</t>
        </is>
      </c>
      <c r="D7" s="65"/>
      <c r="E7" s="7" t="inlineStr">
        <is>
          <t xml:space="preserve">시나리오</t>
        </is>
      </c>
      <c r="F7" s="7" t="inlineStr">
        <is>
          <t xml:space="preserve">포트폴리오 순가치</t>
        </is>
      </c>
      <c r="G7" s="7" t="inlineStr">
        <is>
          <t xml:space="preserve">기준 대비</t>
        </is>
      </c>
      <c r="H7" s="7" t="inlineStr">
        <is>
          <t xml:space="preserve">리스크 판정</t>
        </is>
      </c>
      <c r="I7" s="17"/>
    </row>
    <row r="8" ht="30" customHeight="1">
      <c r="A8" s="44">
        <v>1</v>
      </c>
      <c r="B8" s="45">
        <f>INDEX(Portfolio!$A$8:$A$17,MATCH($A8,Portfolio!$L$8:$L$17,0))</f>
      </c>
      <c r="C8" s="46">
        <f>INDEX(Portfolio!$K$8:$K$17,MATCH($A8,Portfolio!$L$8:$L$17,0))</f>
      </c>
      <c r="D8" s="65"/>
      <c r="E8" s="47">
        <f>Scenarios!$A$4</f>
      </c>
      <c r="F8" s="48">
        <f>Scenarios!$B$20</f>
      </c>
      <c r="G8" s="48">
        <f>F8-$F$9</f>
      </c>
      <c r="H8" s="49">
        <f>IF(F8&lt;0,"위험","양호")</f>
      </c>
      <c r="I8" s="17"/>
    </row>
    <row r="9" ht="30" customHeight="1">
      <c r="A9" s="44">
        <v>2</v>
      </c>
      <c r="B9" s="45">
        <f>INDEX(Portfolio!$A$8:$A$17,MATCH($A9,Portfolio!$L$8:$L$17,0))</f>
      </c>
      <c r="C9" s="46">
        <f>INDEX(Portfolio!$K$8:$K$17,MATCH($A9,Portfolio!$L$8:$L$17,0))</f>
      </c>
      <c r="D9" s="65"/>
      <c r="E9" s="50">
        <f>Scenarios!$A$5</f>
      </c>
      <c r="F9" s="51">
        <f>Scenarios!$C$20</f>
      </c>
      <c r="G9" s="51">
        <f>F9-$F$9</f>
      </c>
      <c r="H9" s="52">
        <f>IF(F9&lt;0,"위험","양호")</f>
      </c>
      <c r="I9" s="17"/>
    </row>
    <row r="10" ht="30" customHeight="1">
      <c r="A10" s="44">
        <v>3</v>
      </c>
      <c r="B10" s="45">
        <f>INDEX(Portfolio!$A$8:$A$17,MATCH($A10,Portfolio!$L$8:$L$17,0))</f>
      </c>
      <c r="C10" s="46">
        <f>INDEX(Portfolio!$K$8:$K$17,MATCH($A10,Portfolio!$L$8:$L$17,0))</f>
      </c>
      <c r="D10" s="65"/>
      <c r="E10" s="53">
        <f>Scenarios!$A$6</f>
      </c>
      <c r="F10" s="54">
        <f>Scenarios!$D$20</f>
      </c>
      <c r="G10" s="54">
        <f>F10-$F$9</f>
      </c>
      <c r="H10" s="55">
        <f>IF(F10&lt;0,"위험","양호")</f>
      </c>
      <c r="I10" s="17"/>
    </row>
    <row r="11">
      <c r="A11" s="16"/>
      <c r="B11" s="16"/>
      <c r="C11" s="16"/>
      <c r="E11" s="16"/>
      <c r="F11" s="16"/>
      <c r="G11" s="16"/>
      <c r="H11" s="16"/>
    </row>
    <row r="12">
      <c r="A12" s="18"/>
      <c r="B12" s="18"/>
      <c r="C12" s="18"/>
      <c r="D12" s="18"/>
      <c r="E12" s="18"/>
      <c r="F12" s="18"/>
      <c r="G12" s="18"/>
      <c r="H12" s="18"/>
    </row>
    <row r="13" ht="26.25" customHeight="1">
      <c r="A13" s="56" t="inlineStr">
        <is>
          <t xml:space="preserve">의사결정 권고</t>
        </is>
      </c>
      <c r="B13" s="57"/>
      <c r="C13" s="57"/>
      <c r="D13" s="57"/>
      <c r="E13" s="57"/>
      <c r="F13" s="57"/>
      <c r="G13" s="57"/>
      <c r="H13" s="58"/>
      <c r="I13" s="17"/>
    </row>
    <row r="14" ht="42" customHeight="1">
      <c r="A14" s="59">
        <f>IF($F$8&lt;0,"Downside에서 포트폴리오 순가치가 음수이므로 단계적 집행과 비용 통제가 필요합니다.","Downside에서도 포트폴리오 순가치가 양수이므로 계획대로 집행 가능합니다.")</f>
      </c>
      <c r="B14" s="60"/>
      <c r="C14" s="60"/>
      <c r="D14" s="60"/>
      <c r="E14" s="60"/>
      <c r="F14" s="60"/>
      <c r="G14" s="60"/>
      <c r="H14" s="61"/>
      <c r="I14" s="17"/>
    </row>
    <row r="15" ht="42" customHeight="1">
      <c r="A15" s="59">
        <f>IF($F$9&gt;0,"Base에서 기대 순가치가 양수이므로 우선순위 1~3위 투자안을 중심으로 집행합니다.","Base에서 기대 순가치가 음수이므로 투자안 재선별이 필요합니다.")</f>
      </c>
      <c r="B15" s="60"/>
      <c r="C15" s="60"/>
      <c r="D15" s="60"/>
      <c r="E15" s="60"/>
      <c r="F15" s="60"/>
      <c r="G15" s="60"/>
      <c r="H15" s="61"/>
      <c r="I15" s="17"/>
    </row>
    <row r="16" ht="42" customHeight="1">
      <c r="A16" s="62">
        <f>IF($F$10&gt;$F$9,"Upside가 Base를 상회하므로 성공확률 개선과 ARR 확장을 병행합니다.","Upside가 Base를 상회하지 않으므로 ARR 확장 가정을 보수적으로 관리합니다.")</f>
      </c>
      <c r="B16" s="63"/>
      <c r="C16" s="63"/>
      <c r="D16" s="63"/>
      <c r="E16" s="63"/>
      <c r="F16" s="63"/>
      <c r="G16" s="63"/>
      <c r="H16" s="64"/>
      <c r="I16" s="17"/>
    </row>
    <row r="17">
      <c r="A17" s="16"/>
      <c r="B17" s="16"/>
      <c r="C17" s="16"/>
      <c r="D17" s="16"/>
      <c r="E17" s="16"/>
      <c r="F17" s="16"/>
      <c r="G17" s="16"/>
      <c r="H17" s="16"/>
    </row>
  </sheetData>
  <mergeCells count="13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13:H13"/>
    <mergeCell ref="A14:H14"/>
    <mergeCell ref="A15:H15"/>
    <mergeCell ref="A16:H16"/>
  </mergeCells>
</worksheet>
</file>